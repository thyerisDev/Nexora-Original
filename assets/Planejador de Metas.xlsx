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uch\Downloads\"/>
    </mc:Choice>
  </mc:AlternateContent>
  <xr:revisionPtr revIDLastSave="0" documentId="8_{DCB6C694-8B52-456B-B0C6-E950685E2E67}" xr6:coauthVersionLast="47" xr6:coauthVersionMax="47" xr10:uidLastSave="{00000000-0000-0000-0000-000000000000}"/>
  <bookViews>
    <workbookView xWindow="-120" yWindow="-120" windowWidth="29040" windowHeight="15720" xr2:uid="{976CC514-6361-4882-90CF-42A1777E7D79}"/>
  </bookViews>
  <sheets>
    <sheet name="Capa" sheetId="1" r:id="rId1"/>
    <sheet name="Dashboard" sheetId="2" r:id="rId2"/>
    <sheet name="Metas" sheetId="3" r:id="rId3"/>
    <sheet name="Plano de Ação" sheetId="4" r:id="rId4"/>
    <sheet name="Configuração" sheetId="5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" i="2" l="1"/>
  <c r="AH2" i="2"/>
  <c r="AH1" i="2"/>
  <c r="AE6" i="2"/>
  <c r="AE5" i="2"/>
  <c r="AE4" i="2"/>
  <c r="AE3" i="2"/>
  <c r="AE2" i="2"/>
  <c r="AE1" i="2"/>
  <c r="AB4" i="2"/>
  <c r="AB3" i="2"/>
  <c r="AB2" i="2"/>
  <c r="AB1" i="2"/>
  <c r="Q2" i="2"/>
  <c r="L2" i="2"/>
  <c r="G2" i="2"/>
  <c r="B2" i="2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A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</calcChain>
</file>

<file path=xl/sharedStrings.xml><?xml version="1.0" encoding="utf-8"?>
<sst xmlns="http://schemas.openxmlformats.org/spreadsheetml/2006/main" count="64" uniqueCount="38">
  <si>
    <t>NEXORA</t>
  </si>
  <si>
    <t>Consultoria Financeira</t>
  </si>
  <si>
    <t>PLANEJADOR DE METAS</t>
  </si>
  <si>
    <t>Planeje. Execute. Conquiste!</t>
  </si>
  <si>
    <t>ID</t>
  </si>
  <si>
    <t>Meta</t>
  </si>
  <si>
    <t>Categoria</t>
  </si>
  <si>
    <t>Prioridade</t>
  </si>
  <si>
    <t>Data Início</t>
  </si>
  <si>
    <t>Data Final</t>
  </si>
  <si>
    <t>Status</t>
  </si>
  <si>
    <t>Progresso (%)</t>
  </si>
  <si>
    <t xml:space="preserve">Dias Restantes </t>
  </si>
  <si>
    <t>Indicador</t>
  </si>
  <si>
    <t>Observações</t>
  </si>
  <si>
    <t>Financeiro</t>
  </si>
  <si>
    <t>Estudos</t>
  </si>
  <si>
    <t>Trabalho</t>
  </si>
  <si>
    <t>Saúde</t>
  </si>
  <si>
    <t>Pessoal</t>
  </si>
  <si>
    <t>Baixa</t>
  </si>
  <si>
    <t>Alta</t>
  </si>
  <si>
    <t>Não iniciada</t>
  </si>
  <si>
    <t>Em andamento</t>
  </si>
  <si>
    <t>Concluída</t>
  </si>
  <si>
    <t>Pausada</t>
  </si>
  <si>
    <t>Carro</t>
  </si>
  <si>
    <t>Notebook</t>
  </si>
  <si>
    <t>Tênis</t>
  </si>
  <si>
    <t>Média</t>
  </si>
  <si>
    <t>Ação</t>
  </si>
  <si>
    <t>Prazo</t>
  </si>
  <si>
    <t>HP 12C</t>
  </si>
  <si>
    <t>Total de Metas</t>
  </si>
  <si>
    <t>Concluídas</t>
  </si>
  <si>
    <t>Taxa de Conclusão</t>
  </si>
  <si>
    <t>Em Andamento</t>
  </si>
  <si>
    <t>Outros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</si>
</sst>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8"/>
      <color theme="0"/>
      <name val="Georgia"/>
      <family val="1"/>
    </font>
    <font>
      <sz val="16"/>
      <color theme="1"/>
      <name val="Georgia"/>
      <family val="1"/>
    </font>
    <font>
      <sz val="12"/>
      <color theme="0"/>
      <name val="Georgia"/>
      <family val="1"/>
    </font>
    <font>
      <sz val="12"/>
      <color theme="1"/>
      <name val="Aptos Narrow"/>
      <family val="2"/>
      <scheme val="minor"/>
    </font>
    <font>
      <b/>
      <sz val="26"/>
      <color rgb="FF54080D"/>
      <name val="Georgia"/>
      <family val="1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010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4080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4" borderId="0" xfId="0" applyFont="1" applyFill="1" applyAlignment="1">
      <alignment horizontal="center" vertical="center"/>
    </xf>
    <xf numFmtId="14" fontId="0" fillId="0" borderId="0" xfId="0" applyNumberFormat="1"/>
    <xf numFmtId="10" fontId="0" fillId="0" borderId="0" xfId="0" applyNumberFormat="1"/>
    <xf numFmtId="0" fontId="2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0" fontId="0" fillId="6" borderId="1" xfId="0" applyNumberFormat="1" applyFill="1" applyBorder="1" applyAlignment="1">
      <alignment horizontal="center"/>
    </xf>
  </cellXfs>
  <cellStyles count="1">
    <cellStyle name="Normal" xfId="0" builtinId="0"/>
  </cellStyles>
  <dxfs count="15">
    <dxf>
      <font>
        <color rgb="FFFFFF00"/>
      </font>
    </dxf>
    <dxf>
      <font>
        <color rgb="FFFF0000"/>
      </font>
    </dxf>
    <dxf>
      <font>
        <color theme="6" tint="0.39994506668294322"/>
      </font>
    </dxf>
    <dxf>
      <font>
        <color theme="9" tint="-0.499984740745262"/>
      </font>
    </dxf>
    <dxf>
      <font>
        <color rgb="FF1F0102"/>
      </font>
      <fill>
        <patternFill>
          <bgColor theme="9" tint="0.59996337778862885"/>
        </patternFill>
      </fill>
    </dxf>
    <dxf>
      <fill>
        <patternFill>
          <bgColor rgb="FFFFFF97"/>
        </patternFill>
      </fill>
    </dxf>
    <dxf>
      <fill>
        <patternFill>
          <bgColor theme="0" tint="-0.14996795556505021"/>
        </patternFill>
      </fill>
    </dxf>
    <dxf>
      <fill>
        <patternFill>
          <bgColor theme="3" tint="0.89996032593768116"/>
        </patternFill>
      </fill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54080D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54080D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800000"/>
      <color rgb="FFCC3300"/>
      <color rgb="FFCC6600"/>
      <color rgb="FF54080D"/>
      <color rgb="FFFF3300"/>
      <color rgb="FFCC0000"/>
      <color rgb="FF993300"/>
      <color rgb="FFFF9393"/>
      <color rgb="FFFFFF97"/>
      <color rgb="FFFFFF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r>
              <a:rPr lang="pt-BR" sz="1200" b="1">
                <a:solidFill>
                  <a:schemeClr val="tx1"/>
                </a:solidFill>
                <a:latin typeface="Georgia" panose="02040502050405020303" pitchFamily="18" charset="0"/>
              </a:rPr>
              <a:t>Status</a:t>
            </a:r>
            <a:r>
              <a:rPr lang="pt-BR" sz="1200" b="1" baseline="0">
                <a:solidFill>
                  <a:schemeClr val="tx1"/>
                </a:solidFill>
                <a:latin typeface="Georgia" panose="02040502050405020303" pitchFamily="18" charset="0"/>
              </a:rPr>
              <a:t> das Metas</a:t>
            </a:r>
            <a:endParaRPr lang="pt-BR" sz="1200" b="1">
              <a:solidFill>
                <a:schemeClr val="tx1"/>
              </a:solidFill>
              <a:latin typeface="Georgia" panose="02040502050405020303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Georgia" panose="02040502050405020303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8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ED7-42D2-8E50-DB600DB0743F}"/>
              </c:ext>
            </c:extLst>
          </c:dPt>
          <c:dPt>
            <c:idx val="1"/>
            <c:bubble3D val="0"/>
            <c:spPr>
              <a:solidFill>
                <a:srgbClr val="FF939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ED7-42D2-8E50-DB600DB0743F}"/>
              </c:ext>
            </c:extLst>
          </c:dPt>
          <c:dPt>
            <c:idx val="2"/>
            <c:bubble3D val="0"/>
            <c:spPr>
              <a:solidFill>
                <a:srgbClr val="9933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ED7-42D2-8E50-DB600DB0743F}"/>
              </c:ext>
            </c:extLst>
          </c:dPt>
          <c:dPt>
            <c:idx val="3"/>
            <c:bubble3D val="0"/>
            <c:spPr>
              <a:solidFill>
                <a:srgbClr val="FF33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ED7-42D2-8E50-DB600DB0743F}"/>
              </c:ext>
            </c:extLst>
          </c:dPt>
          <c:cat>
            <c:strRef>
              <c:f>Dashboard!$AA$1:$AA$4</c:f>
              <c:strCache>
                <c:ptCount val="4"/>
                <c:pt idx="0">
                  <c:v>Não iniciada</c:v>
                </c:pt>
                <c:pt idx="1">
                  <c:v>Em andamento</c:v>
                </c:pt>
                <c:pt idx="2">
                  <c:v>Concluída</c:v>
                </c:pt>
                <c:pt idx="3">
                  <c:v>Pausada</c:v>
                </c:pt>
              </c:strCache>
            </c:strRef>
          </c:cat>
          <c:val>
            <c:numRef>
              <c:f>Dashboard!$AB$1:$AB$4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D7-42D2-8E50-DB600DB07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r>
              <a:rPr lang="pt-BR" sz="1200" b="1">
                <a:solidFill>
                  <a:schemeClr val="tx1"/>
                </a:solidFill>
                <a:latin typeface="Georgia" panose="02040502050405020303" pitchFamily="18" charset="0"/>
              </a:rPr>
              <a:t>Metas</a:t>
            </a:r>
            <a:r>
              <a:rPr lang="pt-BR" sz="1200" b="1" baseline="0">
                <a:solidFill>
                  <a:schemeClr val="tx1"/>
                </a:solidFill>
                <a:latin typeface="Georgia" panose="02040502050405020303" pitchFamily="18" charset="0"/>
              </a:rPr>
              <a:t> por Categoria</a:t>
            </a:r>
            <a:endParaRPr lang="pt-BR" sz="1200" b="1">
              <a:solidFill>
                <a:schemeClr val="tx1"/>
              </a:solidFill>
              <a:latin typeface="Georgia" panose="02040502050405020303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Georgia" panose="02040502050405020303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800000"/>
            </a:solidFill>
            <a:ln>
              <a:noFill/>
            </a:ln>
            <a:effectLst/>
          </c:spPr>
          <c:invertIfNegative val="0"/>
          <c:cat>
            <c:strRef>
              <c:f>Dashboard!$AD$1:$AD$6</c:f>
              <c:strCache>
                <c:ptCount val="6"/>
                <c:pt idx="0">
                  <c:v>Financeiro</c:v>
                </c:pt>
                <c:pt idx="1">
                  <c:v>Estudos</c:v>
                </c:pt>
                <c:pt idx="2">
                  <c:v>Trabalho</c:v>
                </c:pt>
                <c:pt idx="3">
                  <c:v>Saúde</c:v>
                </c:pt>
                <c:pt idx="4">
                  <c:v>Pessoal</c:v>
                </c:pt>
                <c:pt idx="5">
                  <c:v>Outros</c:v>
                </c:pt>
              </c:strCache>
            </c:strRef>
          </c:cat>
          <c:val>
            <c:numRef>
              <c:f>Dashboard!$AE$1:$AE$6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1F-4631-B4D9-8025CE013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7320592"/>
        <c:axId val="377338352"/>
      </c:barChart>
      <c:catAx>
        <c:axId val="37732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77338352"/>
        <c:crosses val="autoZero"/>
        <c:auto val="1"/>
        <c:lblAlgn val="ctr"/>
        <c:lblOffset val="100"/>
        <c:noMultiLvlLbl val="0"/>
      </c:catAx>
      <c:valAx>
        <c:axId val="37733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7732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r>
              <a:rPr lang="pt-BR" sz="1200" b="1">
                <a:solidFill>
                  <a:schemeClr val="tx1"/>
                </a:solidFill>
                <a:latin typeface="Georgia" panose="02040502050405020303" pitchFamily="18" charset="0"/>
              </a:rPr>
              <a:t>Distribuição</a:t>
            </a:r>
            <a:r>
              <a:rPr lang="pt-BR" sz="1200" b="1" baseline="0">
                <a:solidFill>
                  <a:schemeClr val="tx1"/>
                </a:solidFill>
                <a:latin typeface="Georgia" panose="02040502050405020303" pitchFamily="18" charset="0"/>
              </a:rPr>
              <a:t> de Prioridade</a:t>
            </a:r>
            <a:endParaRPr lang="pt-BR" sz="1200" b="1">
              <a:solidFill>
                <a:schemeClr val="tx1"/>
              </a:solidFill>
              <a:latin typeface="Georgia" panose="02040502050405020303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Georgia" panose="02040502050405020303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1028958880139983"/>
          <c:y val="0.23163159481251605"/>
          <c:w val="0.85157152230971134"/>
          <c:h val="0.62399199050741372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CC3300"/>
            </a:solidFill>
            <a:ln>
              <a:noFill/>
            </a:ln>
            <a:effectLst/>
          </c:spPr>
          <c:invertIfNegative val="0"/>
          <c:cat>
            <c:strRef>
              <c:f>Dashboard!$AG$1:$AG$3</c:f>
              <c:strCache>
                <c:ptCount val="3"/>
                <c:pt idx="0">
                  <c:v>Alta</c:v>
                </c:pt>
                <c:pt idx="1">
                  <c:v>Média</c:v>
                </c:pt>
                <c:pt idx="2">
                  <c:v>Baixa</c:v>
                </c:pt>
              </c:strCache>
            </c:strRef>
          </c:cat>
          <c:val>
            <c:numRef>
              <c:f>Dashboard!$AH$1:$AH$3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7E-49AC-92A8-4A82282ED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3497184"/>
        <c:axId val="433496704"/>
      </c:barChart>
      <c:catAx>
        <c:axId val="433497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3496704"/>
        <c:crosses val="autoZero"/>
        <c:auto val="1"/>
        <c:lblAlgn val="ctr"/>
        <c:lblOffset val="100"/>
        <c:noMultiLvlLbl val="0"/>
      </c:catAx>
      <c:valAx>
        <c:axId val="433496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3497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Plano de A&#231;&#227;o'!A1"/><Relationship Id="rId2" Type="http://schemas.openxmlformats.org/officeDocument/2006/relationships/hyperlink" Target="#Metas!A1"/><Relationship Id="rId1" Type="http://schemas.openxmlformats.org/officeDocument/2006/relationships/hyperlink" Target="#Dashboard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14</xdr:row>
      <xdr:rowOff>0</xdr:rowOff>
    </xdr:from>
    <xdr:to>
      <xdr:col>7</xdr:col>
      <xdr:colOff>0</xdr:colOff>
      <xdr:row>15</xdr:row>
      <xdr:rowOff>180975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AF2D89-09D0-56BE-C2EA-2743B3981BD5}"/>
            </a:ext>
          </a:extLst>
        </xdr:cNvPr>
        <xdr:cNvSpPr/>
      </xdr:nvSpPr>
      <xdr:spPr>
        <a:xfrm>
          <a:off x="3067050" y="2971800"/>
          <a:ext cx="1200150" cy="371475"/>
        </a:xfrm>
        <a:prstGeom prst="roundRect">
          <a:avLst/>
        </a:prstGeom>
        <a:solidFill>
          <a:srgbClr val="54080D"/>
        </a:solidFill>
        <a:ln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Dashboard</a:t>
          </a:r>
        </a:p>
      </xdr:txBody>
    </xdr:sp>
    <xdr:clientData/>
  </xdr:twoCellAnchor>
  <xdr:twoCellAnchor>
    <xdr:from>
      <xdr:col>8</xdr:col>
      <xdr:colOff>600075</xdr:colOff>
      <xdr:row>14</xdr:row>
      <xdr:rowOff>0</xdr:rowOff>
    </xdr:from>
    <xdr:to>
      <xdr:col>11</xdr:col>
      <xdr:colOff>0</xdr:colOff>
      <xdr:row>16</xdr:row>
      <xdr:rowOff>9525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C81B490-9543-3670-6874-B9086DFADE61}"/>
            </a:ext>
          </a:extLst>
        </xdr:cNvPr>
        <xdr:cNvSpPr/>
      </xdr:nvSpPr>
      <xdr:spPr>
        <a:xfrm>
          <a:off x="5476875" y="2971800"/>
          <a:ext cx="1228725" cy="390525"/>
        </a:xfrm>
        <a:prstGeom prst="roundRect">
          <a:avLst/>
        </a:prstGeom>
        <a:solidFill>
          <a:srgbClr val="54080D"/>
        </a:solidFill>
        <a:ln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Metas</a:t>
          </a:r>
        </a:p>
      </xdr:txBody>
    </xdr:sp>
    <xdr:clientData/>
  </xdr:twoCellAnchor>
  <xdr:twoCellAnchor>
    <xdr:from>
      <xdr:col>13</xdr:col>
      <xdr:colOff>0</xdr:colOff>
      <xdr:row>14</xdr:row>
      <xdr:rowOff>0</xdr:rowOff>
    </xdr:from>
    <xdr:to>
      <xdr:col>15</xdr:col>
      <xdr:colOff>9525</xdr:colOff>
      <xdr:row>16</xdr:row>
      <xdr:rowOff>9525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4661360-5B89-CF49-DB71-07F6F6B0A68A}"/>
            </a:ext>
          </a:extLst>
        </xdr:cNvPr>
        <xdr:cNvSpPr/>
      </xdr:nvSpPr>
      <xdr:spPr>
        <a:xfrm>
          <a:off x="7924800" y="2971800"/>
          <a:ext cx="1228725" cy="390525"/>
        </a:xfrm>
        <a:prstGeom prst="roundRect">
          <a:avLst/>
        </a:prstGeom>
        <a:solidFill>
          <a:srgbClr val="54080D"/>
        </a:solidFill>
        <a:ln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Plano</a:t>
          </a:r>
          <a:r>
            <a:rPr lang="pt-BR" sz="1100" baseline="0"/>
            <a:t> de Ação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381000</xdr:colOff>
      <xdr:row>14</xdr:row>
      <xdr:rowOff>33337</xdr:rowOff>
    </xdr:from>
    <xdr:to>
      <xdr:col>14</xdr:col>
      <xdr:colOff>76200</xdr:colOff>
      <xdr:row>27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B35E007-28AE-FD46-B65A-2C6F6674EF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447675</xdr:colOff>
      <xdr:row>3</xdr:row>
      <xdr:rowOff>4762</xdr:rowOff>
    </xdr:from>
    <xdr:to>
      <xdr:col>19</xdr:col>
      <xdr:colOff>142875</xdr:colOff>
      <xdr:row>16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B8C1FD0-71C1-B2CF-55A8-AD7F456F53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285750</xdr:colOff>
      <xdr:row>3</xdr:row>
      <xdr:rowOff>19049</xdr:rowOff>
    </xdr:from>
    <xdr:to>
      <xdr:col>8</xdr:col>
      <xdr:colOff>590550</xdr:colOff>
      <xdr:row>14</xdr:row>
      <xdr:rowOff>171450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E29ACE4-1376-278B-BF45-570DCEA974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542924</xdr:colOff>
      <xdr:row>7</xdr:row>
      <xdr:rowOff>117351</xdr:rowOff>
    </xdr:from>
    <xdr:to>
      <xdr:col>14</xdr:col>
      <xdr:colOff>66675</xdr:colOff>
      <xdr:row>19</xdr:row>
      <xdr:rowOff>76199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EE512661-0589-9FE8-7027-03A783D00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 amt="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6224" y="1450851"/>
          <a:ext cx="4400551" cy="2244848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oneCellAnchor>
    <xdr:from>
      <xdr:col>7</xdr:col>
      <xdr:colOff>57151</xdr:colOff>
      <xdr:row>8</xdr:row>
      <xdr:rowOff>142875</xdr:rowOff>
    </xdr:from>
    <xdr:ext cx="3943350" cy="1800224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8D310E28-3CF1-CA5B-9E05-2F80EF104531}"/>
            </a:ext>
          </a:extLst>
        </xdr:cNvPr>
        <xdr:cNvSpPr txBox="1"/>
      </xdr:nvSpPr>
      <xdr:spPr>
        <a:xfrm>
          <a:off x="8020051" y="1666875"/>
          <a:ext cx="3943350" cy="18002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600" b="1" baseline="0">
              <a:solidFill>
                <a:schemeClr val="bg1"/>
              </a:solidFill>
              <a:latin typeface="Georgia" panose="02040502050405020303" pitchFamily="18" charset="0"/>
            </a:rPr>
            <a:t>         </a:t>
          </a:r>
          <a:r>
            <a:rPr lang="pt-BR" sz="1400" b="1" baseline="0">
              <a:solidFill>
                <a:schemeClr val="bg1"/>
              </a:solidFill>
              <a:latin typeface="Georgia" panose="02040502050405020303" pitchFamily="18" charset="0"/>
            </a:rPr>
            <a:t>Plano de Ação</a:t>
          </a:r>
        </a:p>
        <a:p>
          <a:pPr algn="ctr"/>
          <a:r>
            <a:rPr lang="pt-BR" sz="1400" b="0">
              <a:solidFill>
                <a:schemeClr val="bg1"/>
              </a:solidFill>
              <a:latin typeface="Georgia" panose="02040502050405020303" pitchFamily="18" charset="0"/>
            </a:rPr>
            <a:t>Transforme objetivos em resultados através da execução</a:t>
          </a:r>
          <a:r>
            <a:rPr lang="pt-BR" sz="1400" b="1">
              <a:solidFill>
                <a:schemeClr val="bg1"/>
              </a:solidFill>
              <a:latin typeface="Georgia" panose="02040502050405020303" pitchFamily="18" charset="0"/>
            </a:rPr>
            <a:t>!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169CB6-9833-4F05-BC67-F6CD1DCA2177}" name="Tabela1" displayName="Tabela1" ref="A1:K200" totalsRowShown="0" headerRowDxfId="12">
  <autoFilter ref="A1:K200" xr:uid="{68169CB6-9833-4F05-BC67-F6CD1DCA2177}"/>
  <tableColumns count="11">
    <tableColumn id="1" xr3:uid="{37609884-43F2-4705-9FCA-E5ACC4801C01}" name="ID" dataDxfId="11">
      <calculatedColumnFormula>IF(B2="","",ROW()-1)</calculatedColumnFormula>
    </tableColumn>
    <tableColumn id="2" xr3:uid="{01927B67-054D-4F15-A6D8-7B0E95467815}" name="Meta"/>
    <tableColumn id="3" xr3:uid="{9E97F6B2-F067-4740-A518-F7E105D9B645}" name="Categoria"/>
    <tableColumn id="4" xr3:uid="{7824D120-3E22-4822-9153-CC14F4B14D27}" name="Prioridade"/>
    <tableColumn id="5" xr3:uid="{82DDDF27-7AB3-4863-9541-BD7B5E95B8E0}" name="Data Início"/>
    <tableColumn id="6" xr3:uid="{CE39C035-0037-4BD9-8EC6-D7CD0ABEA57C}" name="Data Final"/>
    <tableColumn id="7" xr3:uid="{D3FA33F2-62B2-40CA-9520-AF3C8D20193E}" name="Status"/>
    <tableColumn id="8" xr3:uid="{008669B2-2256-4FE4-A86C-ED00F2217C91}" name="Progresso (%)" dataDxfId="10">
      <calculatedColumnFormula>IF(B2="","",IF(G2="Concluída",1,IF(G2="Em andamento",0.5,0)))</calculatedColumnFormula>
    </tableColumn>
    <tableColumn id="9" xr3:uid="{6EE6EB8D-1C03-4DB7-8D01-40014B24689F}" name="Dias Restantes " dataDxfId="9">
      <calculatedColumnFormula>IF(F2="","",IF(G2="Concluída",0,F2-TODAY()))</calculatedColumnFormula>
    </tableColumn>
    <tableColumn id="10" xr3:uid="{35DBE1B8-9419-4862-A78D-353D2F0102AD}" name="Indicador" dataDxfId="8">
      <calculatedColumnFormula>IF(F2="","",IF(G2="Concluída","CONCLUÍDA",IF(F2&lt;TODAY(),"ATRASADA","OK")))</calculatedColumnFormula>
    </tableColumn>
    <tableColumn id="11" xr3:uid="{5A896106-D711-4C39-AE04-8B21A5576A91}" name="Observações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DD0FCC-506A-495F-A0CD-FD99EAF2B725}" name="Tabela2" displayName="Tabela2" ref="A1:F200" totalsRowShown="0" headerRowDxfId="14">
  <autoFilter ref="A1:F200" xr:uid="{81DD0FCC-506A-495F-A0CD-FD99EAF2B725}"/>
  <tableColumns count="6">
    <tableColumn id="1" xr3:uid="{594F1DD7-F155-4336-8FB3-E54FD0C3939E}" name="Meta" dataDxfId="13"/>
    <tableColumn id="2" xr3:uid="{647ADBA0-D863-4975-A084-611F2F079744}" name="Ação"/>
    <tableColumn id="3" xr3:uid="{345A14B6-E3A4-4461-B8D7-ADD8048565B1}" name="Prazo"/>
    <tableColumn id="4" xr3:uid="{71EADD9D-1186-46D1-AF11-279CB3B96AD2}" name="Status"/>
    <tableColumn id="5" xr3:uid="{EA9C48FD-B7AE-444A-8A66-66D57EB91E78}" name="Prioridade"/>
    <tableColumn id="6" xr3:uid="{5B4ED800-4562-478A-A919-30E69D7F82B6}" name="Observações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876AB-7F03-47D2-988F-2E20ACD5C118}">
  <dimension ref="A1:U12"/>
  <sheetViews>
    <sheetView showGridLines="0" tabSelected="1" workbookViewId="0">
      <selection activeCell="I22" sqref="I22"/>
    </sheetView>
  </sheetViews>
  <sheetFormatPr defaultRowHeight="15" x14ac:dyDescent="0.25"/>
  <sheetData>
    <row r="1" spans="1:21" x14ac:dyDescent="0.25">
      <c r="A1" s="1"/>
      <c r="B1" s="1"/>
      <c r="C1" s="1"/>
      <c r="D1" s="1"/>
      <c r="E1" s="1"/>
      <c r="F1" s="1"/>
      <c r="G1" s="1"/>
      <c r="H1" s="5" t="s">
        <v>0</v>
      </c>
      <c r="I1" s="5"/>
      <c r="J1" s="5"/>
      <c r="K1" s="5"/>
      <c r="L1" s="5"/>
      <c r="M1" s="5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5"/>
      <c r="I2" s="5"/>
      <c r="J2" s="5"/>
      <c r="K2" s="5"/>
      <c r="L2" s="5"/>
      <c r="M2" s="5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5"/>
      <c r="I3" s="5"/>
      <c r="J3" s="5"/>
      <c r="K3" s="5"/>
      <c r="L3" s="5"/>
      <c r="M3" s="5"/>
      <c r="N3" s="1"/>
      <c r="O3" s="1"/>
      <c r="P3" s="1"/>
      <c r="Q3" s="1"/>
      <c r="R3" s="1"/>
      <c r="S3" s="1"/>
      <c r="T3" s="1"/>
      <c r="U3" s="1"/>
    </row>
    <row r="4" spans="1:21" x14ac:dyDescent="0.25">
      <c r="A4" s="1"/>
      <c r="B4" s="1"/>
      <c r="C4" s="1"/>
      <c r="D4" s="1"/>
      <c r="E4" s="1"/>
      <c r="F4" s="1"/>
      <c r="G4" s="1"/>
      <c r="H4" s="5"/>
      <c r="I4" s="5"/>
      <c r="J4" s="5"/>
      <c r="K4" s="5"/>
      <c r="L4" s="5"/>
      <c r="M4" s="5"/>
      <c r="N4" s="1"/>
      <c r="O4" s="1"/>
      <c r="P4" s="1"/>
      <c r="Q4" s="1"/>
      <c r="R4" s="1"/>
      <c r="S4" s="1"/>
      <c r="T4" s="1"/>
      <c r="U4" s="1"/>
    </row>
    <row r="5" spans="1:21" ht="15.75" x14ac:dyDescent="0.25">
      <c r="H5" s="6" t="s">
        <v>1</v>
      </c>
      <c r="I5" s="7"/>
      <c r="J5" s="7"/>
      <c r="K5" s="7"/>
      <c r="L5" s="7"/>
      <c r="M5" s="7"/>
    </row>
    <row r="9" spans="1:21" ht="33" x14ac:dyDescent="0.45">
      <c r="F9" s="8" t="s">
        <v>2</v>
      </c>
      <c r="G9" s="8"/>
      <c r="H9" s="8"/>
      <c r="I9" s="8"/>
      <c r="J9" s="8"/>
      <c r="K9" s="8"/>
      <c r="L9" s="8"/>
      <c r="M9" s="8"/>
      <c r="N9" s="8"/>
      <c r="O9" s="8"/>
    </row>
    <row r="12" spans="1:21" ht="20.25" x14ac:dyDescent="0.3">
      <c r="H12" s="9" t="s">
        <v>3</v>
      </c>
      <c r="I12" s="9"/>
      <c r="J12" s="9"/>
      <c r="K12" s="9"/>
      <c r="L12" s="9"/>
      <c r="M12" s="9"/>
    </row>
  </sheetData>
  <mergeCells count="4">
    <mergeCell ref="H1:M4"/>
    <mergeCell ref="H5:M5"/>
    <mergeCell ref="F9:O9"/>
    <mergeCell ref="H12:M12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AD479-ECCD-439A-8427-D30CF925EFBE}">
  <dimension ref="B1:AH6"/>
  <sheetViews>
    <sheetView showGridLines="0" workbookViewId="0"/>
  </sheetViews>
  <sheetFormatPr defaultRowHeight="15" x14ac:dyDescent="0.25"/>
  <cols>
    <col min="27" max="27" width="14.42578125" bestFit="1" customWidth="1"/>
    <col min="30" max="30" width="10.28515625" bestFit="1" customWidth="1"/>
  </cols>
  <sheetData>
    <row r="1" spans="2:34" x14ac:dyDescent="0.25">
      <c r="B1" s="10" t="s">
        <v>33</v>
      </c>
      <c r="C1" s="10"/>
      <c r="D1" s="10"/>
      <c r="E1" s="10"/>
      <c r="G1" s="10" t="s">
        <v>34</v>
      </c>
      <c r="H1" s="10"/>
      <c r="I1" s="10"/>
      <c r="J1" s="10"/>
      <c r="L1" s="10" t="s">
        <v>36</v>
      </c>
      <c r="M1" s="10"/>
      <c r="N1" s="10"/>
      <c r="O1" s="10"/>
      <c r="Q1" s="10" t="s">
        <v>35</v>
      </c>
      <c r="R1" s="10"/>
      <c r="S1" s="10"/>
      <c r="T1" s="10"/>
      <c r="AA1" t="s">
        <v>22</v>
      </c>
      <c r="AB1">
        <f>COUNTIF(Metas!G2:G200,"Não iniciada")</f>
        <v>0</v>
      </c>
      <c r="AD1" t="s">
        <v>15</v>
      </c>
      <c r="AE1">
        <f>COUNTIF(Metas!C2:C200,"Financeiro")</f>
        <v>0</v>
      </c>
      <c r="AG1" t="s">
        <v>21</v>
      </c>
      <c r="AH1">
        <f>COUNTIF(Metas!D2:D200,"Alta")</f>
        <v>1</v>
      </c>
    </row>
    <row r="2" spans="2:34" x14ac:dyDescent="0.25">
      <c r="B2" s="11">
        <f>COUNTA(Metas!B2:B200)</f>
        <v>4</v>
      </c>
      <c r="C2" s="11"/>
      <c r="D2" s="11"/>
      <c r="E2" s="11"/>
      <c r="G2" s="11">
        <f>COUNTIF(Metas!G2:G200,"Concluída")</f>
        <v>2</v>
      </c>
      <c r="H2" s="11"/>
      <c r="I2" s="11"/>
      <c r="J2" s="11"/>
      <c r="L2" s="11">
        <f>COUNTIF(Metas!G2:G200,"Em andamento")</f>
        <v>1</v>
      </c>
      <c r="M2" s="11"/>
      <c r="N2" s="11"/>
      <c r="O2" s="11"/>
      <c r="Q2" s="12">
        <f>IF(COUNTA(Metas!B2:B200)=0,0,COUNTIF(Metas!G2:G200,"Concluída")/COUNTA(Metas!B2:B200))</f>
        <v>0.5</v>
      </c>
      <c r="R2" s="12"/>
      <c r="S2" s="12"/>
      <c r="T2" s="12"/>
      <c r="AA2" t="s">
        <v>23</v>
      </c>
      <c r="AB2">
        <f>COUNTIF(Metas!G2:G200,"Em andamento")</f>
        <v>1</v>
      </c>
      <c r="AD2" t="s">
        <v>16</v>
      </c>
      <c r="AE2">
        <f>COUNTIF(Metas!C2:C200,"Estudos")</f>
        <v>2</v>
      </c>
      <c r="AG2" t="s">
        <v>29</v>
      </c>
      <c r="AH2">
        <f>COUNTIF(Metas!D2:D200,"Média")</f>
        <v>2</v>
      </c>
    </row>
    <row r="3" spans="2:34" x14ac:dyDescent="0.25">
      <c r="AA3" t="s">
        <v>24</v>
      </c>
      <c r="AB3">
        <f>COUNTIF(Metas!G2:G200,"Concluída")</f>
        <v>2</v>
      </c>
      <c r="AD3" t="s">
        <v>17</v>
      </c>
      <c r="AE3">
        <f>COUNTIF(Metas!C2:C200,"Trabalho")</f>
        <v>0</v>
      </c>
      <c r="AG3" t="s">
        <v>20</v>
      </c>
      <c r="AH3">
        <f>COUNTIF(Metas!D2:D200,"Baixa")</f>
        <v>1</v>
      </c>
    </row>
    <row r="4" spans="2:34" x14ac:dyDescent="0.25">
      <c r="AA4" t="s">
        <v>25</v>
      </c>
      <c r="AB4">
        <f>COUNTIF(Metas!G2:G200,"Pausada")</f>
        <v>1</v>
      </c>
      <c r="AD4" t="s">
        <v>18</v>
      </c>
      <c r="AE4">
        <f>COUNTIF(Metas!C2:C200,"Saúde")</f>
        <v>0</v>
      </c>
    </row>
    <row r="5" spans="2:34" x14ac:dyDescent="0.25">
      <c r="AD5" t="s">
        <v>19</v>
      </c>
      <c r="AE5">
        <f>COUNTIF(Metas!C2:C200,"Pessoal")</f>
        <v>2</v>
      </c>
    </row>
    <row r="6" spans="2:34" x14ac:dyDescent="0.25">
      <c r="AD6" t="s">
        <v>37</v>
      </c>
      <c r="AE6">
        <f>COUNTIF(Metas!C2:C200,"Outros")</f>
        <v>0</v>
      </c>
    </row>
  </sheetData>
  <mergeCells count="8">
    <mergeCell ref="B1:E1"/>
    <mergeCell ref="G1:J1"/>
    <mergeCell ref="L1:O1"/>
    <mergeCell ref="Q1:T1"/>
    <mergeCell ref="B2:E2"/>
    <mergeCell ref="G2:J2"/>
    <mergeCell ref="L2:O2"/>
    <mergeCell ref="Q2:T2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02058-DFA7-4387-B9EC-14651ED59C76}">
  <dimension ref="A1:K200"/>
  <sheetViews>
    <sheetView workbookViewId="0"/>
  </sheetViews>
  <sheetFormatPr defaultRowHeight="15" x14ac:dyDescent="0.25"/>
  <cols>
    <col min="2" max="2" width="10" bestFit="1" customWidth="1"/>
    <col min="3" max="3" width="14.28515625" bestFit="1" customWidth="1"/>
    <col min="4" max="4" width="14.85546875" bestFit="1" customWidth="1"/>
    <col min="5" max="5" width="15.140625" bestFit="1" customWidth="1"/>
    <col min="6" max="7" width="14.42578125" bestFit="1" customWidth="1"/>
    <col min="8" max="8" width="18.140625" bestFit="1" customWidth="1"/>
    <col min="9" max="9" width="19.7109375" bestFit="1" customWidth="1"/>
    <col min="10" max="10" width="14" bestFit="1" customWidth="1"/>
    <col min="11" max="11" width="17.28515625" bestFit="1" customWidth="1"/>
  </cols>
  <sheetData>
    <row r="1" spans="1:11" x14ac:dyDescent="0.2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</row>
    <row r="2" spans="1:11" x14ac:dyDescent="0.25">
      <c r="A2">
        <f t="shared" ref="A2:A33" si="0">IF(B2="","",ROW()-1)</f>
        <v>1</v>
      </c>
      <c r="B2" t="s">
        <v>26</v>
      </c>
      <c r="C2" t="s">
        <v>19</v>
      </c>
      <c r="D2" t="s">
        <v>21</v>
      </c>
      <c r="F2" s="3">
        <v>46264</v>
      </c>
      <c r="G2" t="s">
        <v>23</v>
      </c>
      <c r="H2" s="4">
        <f t="shared" ref="H2:H33" si="1">IF(B2="","",IF(G2="Concluída",1,IF(G2="Em andamento",0.5,0)))</f>
        <v>0.5</v>
      </c>
      <c r="I2">
        <f t="shared" ref="I2:I33" ca="1" si="2">IF(F2="","",IF(G2="Concluída",0,F2-TODAY()))</f>
        <v>68</v>
      </c>
      <c r="J2" t="str">
        <f t="shared" ref="J2:J33" ca="1" si="3">IF(F2="","",IF(G2="Concluída","CONCLUÍDA",IF(F2&lt;TODAY(),"ATRASADA","OK")))</f>
        <v>OK</v>
      </c>
    </row>
    <row r="3" spans="1:11" x14ac:dyDescent="0.25">
      <c r="A3">
        <f t="shared" si="0"/>
        <v>2</v>
      </c>
      <c r="B3" t="s">
        <v>27</v>
      </c>
      <c r="C3" t="s">
        <v>16</v>
      </c>
      <c r="D3" t="s">
        <v>29</v>
      </c>
      <c r="F3" s="3">
        <v>46188</v>
      </c>
      <c r="G3" t="s">
        <v>25</v>
      </c>
      <c r="H3" s="4">
        <f t="shared" si="1"/>
        <v>0</v>
      </c>
      <c r="I3">
        <f t="shared" ca="1" si="2"/>
        <v>-8</v>
      </c>
      <c r="J3" t="str">
        <f t="shared" ca="1" si="3"/>
        <v>ATRASADA</v>
      </c>
    </row>
    <row r="4" spans="1:11" x14ac:dyDescent="0.25">
      <c r="A4">
        <f t="shared" si="0"/>
        <v>3</v>
      </c>
      <c r="B4" t="s">
        <v>28</v>
      </c>
      <c r="C4" t="s">
        <v>19</v>
      </c>
      <c r="D4" t="s">
        <v>20</v>
      </c>
      <c r="F4" s="3">
        <v>46194</v>
      </c>
      <c r="G4" t="s">
        <v>24</v>
      </c>
      <c r="H4" s="4">
        <f t="shared" si="1"/>
        <v>1</v>
      </c>
      <c r="I4">
        <f t="shared" ca="1" si="2"/>
        <v>0</v>
      </c>
      <c r="J4" t="str">
        <f t="shared" ca="1" si="3"/>
        <v>CONCLUÍDA</v>
      </c>
    </row>
    <row r="5" spans="1:11" x14ac:dyDescent="0.25">
      <c r="A5">
        <f t="shared" si="0"/>
        <v>4</v>
      </c>
      <c r="B5" t="s">
        <v>32</v>
      </c>
      <c r="C5" t="s">
        <v>16</v>
      </c>
      <c r="D5" t="s">
        <v>29</v>
      </c>
      <c r="F5" s="3">
        <v>46191</v>
      </c>
      <c r="G5" t="s">
        <v>24</v>
      </c>
      <c r="H5" s="4">
        <f t="shared" si="1"/>
        <v>1</v>
      </c>
      <c r="I5">
        <f t="shared" ca="1" si="2"/>
        <v>0</v>
      </c>
      <c r="J5" t="str">
        <f t="shared" ca="1" si="3"/>
        <v>CONCLUÍDA</v>
      </c>
    </row>
    <row r="6" spans="1:11" x14ac:dyDescent="0.25">
      <c r="A6" t="str">
        <f t="shared" si="0"/>
        <v/>
      </c>
      <c r="H6" s="4" t="str">
        <f t="shared" si="1"/>
        <v/>
      </c>
      <c r="I6" t="str">
        <f t="shared" ca="1" si="2"/>
        <v/>
      </c>
      <c r="J6" t="str">
        <f t="shared" ca="1" si="3"/>
        <v/>
      </c>
    </row>
    <row r="7" spans="1:11" x14ac:dyDescent="0.25">
      <c r="A7" t="str">
        <f t="shared" si="0"/>
        <v/>
      </c>
      <c r="H7" s="4" t="str">
        <f t="shared" si="1"/>
        <v/>
      </c>
      <c r="I7" t="str">
        <f t="shared" ca="1" si="2"/>
        <v/>
      </c>
      <c r="J7" t="str">
        <f t="shared" ca="1" si="3"/>
        <v/>
      </c>
    </row>
    <row r="8" spans="1:11" x14ac:dyDescent="0.25">
      <c r="A8" t="str">
        <f t="shared" si="0"/>
        <v/>
      </c>
      <c r="H8" s="4" t="str">
        <f t="shared" si="1"/>
        <v/>
      </c>
      <c r="I8" t="str">
        <f t="shared" ca="1" si="2"/>
        <v/>
      </c>
      <c r="J8" t="str">
        <f t="shared" ca="1" si="3"/>
        <v/>
      </c>
    </row>
    <row r="9" spans="1:11" x14ac:dyDescent="0.25">
      <c r="A9" t="str">
        <f t="shared" si="0"/>
        <v/>
      </c>
      <c r="H9" s="4" t="str">
        <f t="shared" si="1"/>
        <v/>
      </c>
      <c r="I9" t="str">
        <f t="shared" ca="1" si="2"/>
        <v/>
      </c>
      <c r="J9" t="str">
        <f t="shared" ca="1" si="3"/>
        <v/>
      </c>
    </row>
    <row r="10" spans="1:11" x14ac:dyDescent="0.25">
      <c r="A10" t="str">
        <f t="shared" si="0"/>
        <v/>
      </c>
      <c r="H10" s="4" t="str">
        <f t="shared" si="1"/>
        <v/>
      </c>
      <c r="I10" t="str">
        <f t="shared" ca="1" si="2"/>
        <v/>
      </c>
      <c r="J10" t="str">
        <f t="shared" ca="1" si="3"/>
        <v/>
      </c>
    </row>
    <row r="11" spans="1:11" x14ac:dyDescent="0.25">
      <c r="A11" t="str">
        <f t="shared" si="0"/>
        <v/>
      </c>
      <c r="H11" s="4" t="str">
        <f t="shared" si="1"/>
        <v/>
      </c>
      <c r="I11" t="str">
        <f t="shared" ca="1" si="2"/>
        <v/>
      </c>
      <c r="J11" t="str">
        <f t="shared" ca="1" si="3"/>
        <v/>
      </c>
    </row>
    <row r="12" spans="1:11" x14ac:dyDescent="0.25">
      <c r="A12" t="str">
        <f t="shared" si="0"/>
        <v/>
      </c>
      <c r="H12" s="4" t="str">
        <f t="shared" si="1"/>
        <v/>
      </c>
      <c r="I12" t="str">
        <f t="shared" ca="1" si="2"/>
        <v/>
      </c>
      <c r="J12" t="str">
        <f t="shared" ca="1" si="3"/>
        <v/>
      </c>
    </row>
    <row r="13" spans="1:11" x14ac:dyDescent="0.25">
      <c r="A13" t="str">
        <f t="shared" si="0"/>
        <v/>
      </c>
      <c r="H13" s="4" t="str">
        <f t="shared" si="1"/>
        <v/>
      </c>
      <c r="I13" t="str">
        <f t="shared" ca="1" si="2"/>
        <v/>
      </c>
      <c r="J13" t="str">
        <f t="shared" ca="1" si="3"/>
        <v/>
      </c>
    </row>
    <row r="14" spans="1:11" x14ac:dyDescent="0.25">
      <c r="A14" t="str">
        <f t="shared" si="0"/>
        <v/>
      </c>
      <c r="H14" s="4" t="str">
        <f t="shared" si="1"/>
        <v/>
      </c>
      <c r="I14" t="str">
        <f t="shared" ca="1" si="2"/>
        <v/>
      </c>
      <c r="J14" t="str">
        <f t="shared" ca="1" si="3"/>
        <v/>
      </c>
    </row>
    <row r="15" spans="1:11" x14ac:dyDescent="0.25">
      <c r="A15" t="str">
        <f t="shared" si="0"/>
        <v/>
      </c>
      <c r="H15" s="4" t="str">
        <f t="shared" si="1"/>
        <v/>
      </c>
      <c r="I15" t="str">
        <f t="shared" ca="1" si="2"/>
        <v/>
      </c>
      <c r="J15" t="str">
        <f t="shared" ca="1" si="3"/>
        <v/>
      </c>
    </row>
    <row r="16" spans="1:11" x14ac:dyDescent="0.25">
      <c r="A16" t="str">
        <f t="shared" si="0"/>
        <v/>
      </c>
      <c r="H16" s="4" t="str">
        <f t="shared" si="1"/>
        <v/>
      </c>
      <c r="I16" t="str">
        <f t="shared" ca="1" si="2"/>
        <v/>
      </c>
      <c r="J16" t="str">
        <f t="shared" ca="1" si="3"/>
        <v/>
      </c>
    </row>
    <row r="17" spans="1:10" x14ac:dyDescent="0.25">
      <c r="A17" t="str">
        <f t="shared" si="0"/>
        <v/>
      </c>
      <c r="H17" s="4" t="str">
        <f t="shared" si="1"/>
        <v/>
      </c>
      <c r="I17" t="str">
        <f t="shared" ca="1" si="2"/>
        <v/>
      </c>
      <c r="J17" t="str">
        <f t="shared" ca="1" si="3"/>
        <v/>
      </c>
    </row>
    <row r="18" spans="1:10" x14ac:dyDescent="0.25">
      <c r="A18" t="str">
        <f t="shared" si="0"/>
        <v/>
      </c>
      <c r="H18" s="4" t="str">
        <f t="shared" si="1"/>
        <v/>
      </c>
      <c r="I18" t="str">
        <f t="shared" ca="1" si="2"/>
        <v/>
      </c>
      <c r="J18" t="str">
        <f t="shared" ca="1" si="3"/>
        <v/>
      </c>
    </row>
    <row r="19" spans="1:10" x14ac:dyDescent="0.25">
      <c r="A19" t="str">
        <f t="shared" si="0"/>
        <v/>
      </c>
      <c r="H19" s="4" t="str">
        <f t="shared" si="1"/>
        <v/>
      </c>
      <c r="I19" t="str">
        <f t="shared" ca="1" si="2"/>
        <v/>
      </c>
      <c r="J19" t="str">
        <f t="shared" ca="1" si="3"/>
        <v/>
      </c>
    </row>
    <row r="20" spans="1:10" x14ac:dyDescent="0.25">
      <c r="A20" t="str">
        <f t="shared" si="0"/>
        <v/>
      </c>
      <c r="H20" s="4" t="str">
        <f t="shared" si="1"/>
        <v/>
      </c>
      <c r="I20" t="str">
        <f t="shared" ca="1" si="2"/>
        <v/>
      </c>
      <c r="J20" t="str">
        <f t="shared" ca="1" si="3"/>
        <v/>
      </c>
    </row>
    <row r="21" spans="1:10" x14ac:dyDescent="0.25">
      <c r="A21" t="str">
        <f t="shared" si="0"/>
        <v/>
      </c>
      <c r="H21" s="4" t="str">
        <f t="shared" si="1"/>
        <v/>
      </c>
      <c r="I21" t="str">
        <f t="shared" ca="1" si="2"/>
        <v/>
      </c>
      <c r="J21" t="str">
        <f t="shared" ca="1" si="3"/>
        <v/>
      </c>
    </row>
    <row r="22" spans="1:10" x14ac:dyDescent="0.25">
      <c r="A22" t="str">
        <f t="shared" si="0"/>
        <v/>
      </c>
      <c r="H22" s="4" t="str">
        <f t="shared" si="1"/>
        <v/>
      </c>
      <c r="I22" t="str">
        <f t="shared" ca="1" si="2"/>
        <v/>
      </c>
      <c r="J22" t="str">
        <f t="shared" ca="1" si="3"/>
        <v/>
      </c>
    </row>
    <row r="23" spans="1:10" x14ac:dyDescent="0.25">
      <c r="A23" t="str">
        <f t="shared" si="0"/>
        <v/>
      </c>
      <c r="H23" s="4" t="str">
        <f t="shared" si="1"/>
        <v/>
      </c>
      <c r="I23" t="str">
        <f t="shared" ca="1" si="2"/>
        <v/>
      </c>
      <c r="J23" t="str">
        <f t="shared" ca="1" si="3"/>
        <v/>
      </c>
    </row>
    <row r="24" spans="1:10" x14ac:dyDescent="0.25">
      <c r="A24" t="str">
        <f t="shared" si="0"/>
        <v/>
      </c>
      <c r="H24" s="4" t="str">
        <f t="shared" si="1"/>
        <v/>
      </c>
      <c r="I24" t="str">
        <f t="shared" ca="1" si="2"/>
        <v/>
      </c>
      <c r="J24" t="str">
        <f t="shared" ca="1" si="3"/>
        <v/>
      </c>
    </row>
    <row r="25" spans="1:10" x14ac:dyDescent="0.25">
      <c r="A25" t="str">
        <f t="shared" si="0"/>
        <v/>
      </c>
      <c r="H25" s="4" t="str">
        <f t="shared" si="1"/>
        <v/>
      </c>
      <c r="I25" t="str">
        <f t="shared" ca="1" si="2"/>
        <v/>
      </c>
      <c r="J25" t="str">
        <f t="shared" ca="1" si="3"/>
        <v/>
      </c>
    </row>
    <row r="26" spans="1:10" x14ac:dyDescent="0.25">
      <c r="A26" t="str">
        <f t="shared" si="0"/>
        <v/>
      </c>
      <c r="H26" s="4" t="str">
        <f t="shared" si="1"/>
        <v/>
      </c>
      <c r="I26" t="str">
        <f t="shared" ca="1" si="2"/>
        <v/>
      </c>
      <c r="J26" t="str">
        <f t="shared" ca="1" si="3"/>
        <v/>
      </c>
    </row>
    <row r="27" spans="1:10" x14ac:dyDescent="0.25">
      <c r="A27" t="str">
        <f t="shared" si="0"/>
        <v/>
      </c>
      <c r="H27" s="4" t="str">
        <f t="shared" si="1"/>
        <v/>
      </c>
      <c r="I27" t="str">
        <f t="shared" ca="1" si="2"/>
        <v/>
      </c>
      <c r="J27" t="str">
        <f t="shared" ca="1" si="3"/>
        <v/>
      </c>
    </row>
    <row r="28" spans="1:10" x14ac:dyDescent="0.25">
      <c r="A28" t="str">
        <f t="shared" si="0"/>
        <v/>
      </c>
      <c r="H28" s="4" t="str">
        <f t="shared" si="1"/>
        <v/>
      </c>
      <c r="I28" t="str">
        <f t="shared" ca="1" si="2"/>
        <v/>
      </c>
      <c r="J28" t="str">
        <f t="shared" ca="1" si="3"/>
        <v/>
      </c>
    </row>
    <row r="29" spans="1:10" x14ac:dyDescent="0.25">
      <c r="A29" t="str">
        <f t="shared" si="0"/>
        <v/>
      </c>
      <c r="H29" s="4" t="str">
        <f t="shared" si="1"/>
        <v/>
      </c>
      <c r="I29" t="str">
        <f t="shared" ca="1" si="2"/>
        <v/>
      </c>
      <c r="J29" t="str">
        <f t="shared" ca="1" si="3"/>
        <v/>
      </c>
    </row>
    <row r="30" spans="1:10" x14ac:dyDescent="0.25">
      <c r="A30" t="str">
        <f t="shared" si="0"/>
        <v/>
      </c>
      <c r="H30" s="4" t="str">
        <f t="shared" si="1"/>
        <v/>
      </c>
      <c r="I30" t="str">
        <f t="shared" ca="1" si="2"/>
        <v/>
      </c>
      <c r="J30" t="str">
        <f t="shared" ca="1" si="3"/>
        <v/>
      </c>
    </row>
    <row r="31" spans="1:10" x14ac:dyDescent="0.25">
      <c r="A31" t="str">
        <f t="shared" si="0"/>
        <v/>
      </c>
      <c r="H31" s="4" t="str">
        <f t="shared" si="1"/>
        <v/>
      </c>
      <c r="I31" t="str">
        <f t="shared" ca="1" si="2"/>
        <v/>
      </c>
      <c r="J31" t="str">
        <f t="shared" ca="1" si="3"/>
        <v/>
      </c>
    </row>
    <row r="32" spans="1:10" x14ac:dyDescent="0.25">
      <c r="A32" t="str">
        <f t="shared" si="0"/>
        <v/>
      </c>
      <c r="H32" s="4" t="str">
        <f t="shared" si="1"/>
        <v/>
      </c>
      <c r="I32" t="str">
        <f t="shared" ca="1" si="2"/>
        <v/>
      </c>
      <c r="J32" t="str">
        <f t="shared" ca="1" si="3"/>
        <v/>
      </c>
    </row>
    <row r="33" spans="1:10" x14ac:dyDescent="0.25">
      <c r="A33" t="str">
        <f t="shared" si="0"/>
        <v/>
      </c>
      <c r="H33" s="4" t="str">
        <f t="shared" si="1"/>
        <v/>
      </c>
      <c r="I33" t="str">
        <f t="shared" ca="1" si="2"/>
        <v/>
      </c>
      <c r="J33" t="str">
        <f t="shared" ca="1" si="3"/>
        <v/>
      </c>
    </row>
    <row r="34" spans="1:10" x14ac:dyDescent="0.25">
      <c r="A34" t="str">
        <f t="shared" ref="A34:A65" si="4">IF(B34="","",ROW()-1)</f>
        <v/>
      </c>
      <c r="H34" s="4" t="str">
        <f t="shared" ref="H34:H65" si="5">IF(B34="","",IF(G34="Concluída",1,IF(G34="Em andamento",0.5,0)))</f>
        <v/>
      </c>
      <c r="I34" t="str">
        <f t="shared" ref="I34:I65" ca="1" si="6">IF(F34="","",IF(G34="Concluída",0,F34-TODAY()))</f>
        <v/>
      </c>
      <c r="J34" t="str">
        <f t="shared" ref="J34:J65" ca="1" si="7">IF(F34="","",IF(G34="Concluída","CONCLUÍDA",IF(F34&lt;TODAY(),"ATRASADA","OK")))</f>
        <v/>
      </c>
    </row>
    <row r="35" spans="1:10" x14ac:dyDescent="0.25">
      <c r="A35" t="str">
        <f t="shared" si="4"/>
        <v/>
      </c>
      <c r="H35" s="4" t="str">
        <f t="shared" si="5"/>
        <v/>
      </c>
      <c r="I35" t="str">
        <f t="shared" ca="1" si="6"/>
        <v/>
      </c>
      <c r="J35" t="str">
        <f t="shared" ca="1" si="7"/>
        <v/>
      </c>
    </row>
    <row r="36" spans="1:10" x14ac:dyDescent="0.25">
      <c r="A36" t="str">
        <f t="shared" si="4"/>
        <v/>
      </c>
      <c r="H36" s="4" t="str">
        <f t="shared" si="5"/>
        <v/>
      </c>
      <c r="I36" t="str">
        <f t="shared" ca="1" si="6"/>
        <v/>
      </c>
      <c r="J36" t="str">
        <f t="shared" ca="1" si="7"/>
        <v/>
      </c>
    </row>
    <row r="37" spans="1:10" x14ac:dyDescent="0.25">
      <c r="A37" t="str">
        <f t="shared" si="4"/>
        <v/>
      </c>
      <c r="H37" s="4" t="str">
        <f t="shared" si="5"/>
        <v/>
      </c>
      <c r="I37" t="str">
        <f t="shared" ca="1" si="6"/>
        <v/>
      </c>
      <c r="J37" t="str">
        <f t="shared" ca="1" si="7"/>
        <v/>
      </c>
    </row>
    <row r="38" spans="1:10" x14ac:dyDescent="0.25">
      <c r="A38" t="str">
        <f t="shared" si="4"/>
        <v/>
      </c>
      <c r="H38" s="4" t="str">
        <f t="shared" si="5"/>
        <v/>
      </c>
      <c r="I38" t="str">
        <f t="shared" ca="1" si="6"/>
        <v/>
      </c>
      <c r="J38" t="str">
        <f t="shared" ca="1" si="7"/>
        <v/>
      </c>
    </row>
    <row r="39" spans="1:10" x14ac:dyDescent="0.25">
      <c r="A39" t="str">
        <f t="shared" si="4"/>
        <v/>
      </c>
      <c r="H39" s="4" t="str">
        <f t="shared" si="5"/>
        <v/>
      </c>
      <c r="I39" t="str">
        <f t="shared" ca="1" si="6"/>
        <v/>
      </c>
      <c r="J39" t="str">
        <f t="shared" ca="1" si="7"/>
        <v/>
      </c>
    </row>
    <row r="40" spans="1:10" x14ac:dyDescent="0.25">
      <c r="A40" t="str">
        <f t="shared" si="4"/>
        <v/>
      </c>
      <c r="H40" s="4" t="str">
        <f t="shared" si="5"/>
        <v/>
      </c>
      <c r="I40" t="str">
        <f t="shared" ca="1" si="6"/>
        <v/>
      </c>
      <c r="J40" t="str">
        <f t="shared" ca="1" si="7"/>
        <v/>
      </c>
    </row>
    <row r="41" spans="1:10" x14ac:dyDescent="0.25">
      <c r="A41" t="str">
        <f t="shared" si="4"/>
        <v/>
      </c>
      <c r="H41" s="4" t="str">
        <f t="shared" si="5"/>
        <v/>
      </c>
      <c r="I41" t="str">
        <f t="shared" ca="1" si="6"/>
        <v/>
      </c>
      <c r="J41" t="str">
        <f t="shared" ca="1" si="7"/>
        <v/>
      </c>
    </row>
    <row r="42" spans="1:10" x14ac:dyDescent="0.25">
      <c r="A42" t="str">
        <f t="shared" si="4"/>
        <v/>
      </c>
      <c r="H42" s="4" t="str">
        <f t="shared" si="5"/>
        <v/>
      </c>
      <c r="I42" t="str">
        <f t="shared" ca="1" si="6"/>
        <v/>
      </c>
      <c r="J42" t="str">
        <f t="shared" ca="1" si="7"/>
        <v/>
      </c>
    </row>
    <row r="43" spans="1:10" x14ac:dyDescent="0.25">
      <c r="A43" t="str">
        <f t="shared" si="4"/>
        <v/>
      </c>
      <c r="H43" s="4" t="str">
        <f t="shared" si="5"/>
        <v/>
      </c>
      <c r="I43" t="str">
        <f t="shared" ca="1" si="6"/>
        <v/>
      </c>
      <c r="J43" t="str">
        <f t="shared" ca="1" si="7"/>
        <v/>
      </c>
    </row>
    <row r="44" spans="1:10" x14ac:dyDescent="0.25">
      <c r="A44" t="str">
        <f t="shared" si="4"/>
        <v/>
      </c>
      <c r="H44" s="4" t="str">
        <f t="shared" si="5"/>
        <v/>
      </c>
      <c r="I44" t="str">
        <f t="shared" ca="1" si="6"/>
        <v/>
      </c>
      <c r="J44" t="str">
        <f t="shared" ca="1" si="7"/>
        <v/>
      </c>
    </row>
    <row r="45" spans="1:10" x14ac:dyDescent="0.25">
      <c r="A45" t="str">
        <f t="shared" si="4"/>
        <v/>
      </c>
      <c r="H45" s="4" t="str">
        <f t="shared" si="5"/>
        <v/>
      </c>
      <c r="I45" t="str">
        <f t="shared" ca="1" si="6"/>
        <v/>
      </c>
      <c r="J45" t="str">
        <f t="shared" ca="1" si="7"/>
        <v/>
      </c>
    </row>
    <row r="46" spans="1:10" x14ac:dyDescent="0.25">
      <c r="A46" t="str">
        <f t="shared" si="4"/>
        <v/>
      </c>
      <c r="H46" s="4" t="str">
        <f t="shared" si="5"/>
        <v/>
      </c>
      <c r="I46" t="str">
        <f t="shared" ca="1" si="6"/>
        <v/>
      </c>
      <c r="J46" t="str">
        <f t="shared" ca="1" si="7"/>
        <v/>
      </c>
    </row>
    <row r="47" spans="1:10" x14ac:dyDescent="0.25">
      <c r="A47" t="str">
        <f t="shared" si="4"/>
        <v/>
      </c>
      <c r="H47" s="4" t="str">
        <f t="shared" si="5"/>
        <v/>
      </c>
      <c r="I47" t="str">
        <f t="shared" ca="1" si="6"/>
        <v/>
      </c>
      <c r="J47" t="str">
        <f t="shared" ca="1" si="7"/>
        <v/>
      </c>
    </row>
    <row r="48" spans="1:10" x14ac:dyDescent="0.25">
      <c r="A48" t="str">
        <f t="shared" si="4"/>
        <v/>
      </c>
      <c r="H48" s="4" t="str">
        <f t="shared" si="5"/>
        <v/>
      </c>
      <c r="I48" t="str">
        <f t="shared" ca="1" si="6"/>
        <v/>
      </c>
      <c r="J48" t="str">
        <f t="shared" ca="1" si="7"/>
        <v/>
      </c>
    </row>
    <row r="49" spans="1:10" x14ac:dyDescent="0.25">
      <c r="A49" t="str">
        <f t="shared" si="4"/>
        <v/>
      </c>
      <c r="H49" s="4" t="str">
        <f t="shared" si="5"/>
        <v/>
      </c>
      <c r="I49" t="str">
        <f t="shared" ca="1" si="6"/>
        <v/>
      </c>
      <c r="J49" t="str">
        <f t="shared" ca="1" si="7"/>
        <v/>
      </c>
    </row>
    <row r="50" spans="1:10" x14ac:dyDescent="0.25">
      <c r="A50" t="str">
        <f t="shared" si="4"/>
        <v/>
      </c>
      <c r="H50" s="4" t="str">
        <f t="shared" si="5"/>
        <v/>
      </c>
      <c r="I50" t="str">
        <f t="shared" ca="1" si="6"/>
        <v/>
      </c>
      <c r="J50" t="str">
        <f t="shared" ca="1" si="7"/>
        <v/>
      </c>
    </row>
    <row r="51" spans="1:10" x14ac:dyDescent="0.25">
      <c r="A51" t="str">
        <f t="shared" si="4"/>
        <v/>
      </c>
      <c r="H51" s="4" t="str">
        <f t="shared" si="5"/>
        <v/>
      </c>
      <c r="I51" t="str">
        <f t="shared" ca="1" si="6"/>
        <v/>
      </c>
      <c r="J51" t="str">
        <f t="shared" ca="1" si="7"/>
        <v/>
      </c>
    </row>
    <row r="52" spans="1:10" x14ac:dyDescent="0.25">
      <c r="A52" t="str">
        <f t="shared" si="4"/>
        <v/>
      </c>
      <c r="H52" s="4" t="str">
        <f t="shared" si="5"/>
        <v/>
      </c>
      <c r="I52" t="str">
        <f t="shared" ca="1" si="6"/>
        <v/>
      </c>
      <c r="J52" t="str">
        <f t="shared" ca="1" si="7"/>
        <v/>
      </c>
    </row>
    <row r="53" spans="1:10" x14ac:dyDescent="0.25">
      <c r="A53" t="str">
        <f t="shared" si="4"/>
        <v/>
      </c>
      <c r="H53" s="4" t="str">
        <f t="shared" si="5"/>
        <v/>
      </c>
      <c r="I53" t="str">
        <f t="shared" ca="1" si="6"/>
        <v/>
      </c>
      <c r="J53" t="str">
        <f t="shared" ca="1" si="7"/>
        <v/>
      </c>
    </row>
    <row r="54" spans="1:10" x14ac:dyDescent="0.25">
      <c r="A54" t="str">
        <f t="shared" si="4"/>
        <v/>
      </c>
      <c r="H54" s="4" t="str">
        <f t="shared" si="5"/>
        <v/>
      </c>
      <c r="I54" t="str">
        <f t="shared" ca="1" si="6"/>
        <v/>
      </c>
      <c r="J54" t="str">
        <f t="shared" ca="1" si="7"/>
        <v/>
      </c>
    </row>
    <row r="55" spans="1:10" x14ac:dyDescent="0.25">
      <c r="A55" t="str">
        <f t="shared" si="4"/>
        <v/>
      </c>
      <c r="H55" s="4" t="str">
        <f t="shared" si="5"/>
        <v/>
      </c>
      <c r="I55" t="str">
        <f t="shared" ca="1" si="6"/>
        <v/>
      </c>
      <c r="J55" t="str">
        <f t="shared" ca="1" si="7"/>
        <v/>
      </c>
    </row>
    <row r="56" spans="1:10" x14ac:dyDescent="0.25">
      <c r="A56" t="str">
        <f t="shared" si="4"/>
        <v/>
      </c>
      <c r="H56" s="4" t="str">
        <f t="shared" si="5"/>
        <v/>
      </c>
      <c r="I56" t="str">
        <f t="shared" ca="1" si="6"/>
        <v/>
      </c>
      <c r="J56" t="str">
        <f t="shared" ca="1" si="7"/>
        <v/>
      </c>
    </row>
    <row r="57" spans="1:10" x14ac:dyDescent="0.25">
      <c r="A57" t="str">
        <f t="shared" si="4"/>
        <v/>
      </c>
      <c r="H57" s="4" t="str">
        <f t="shared" si="5"/>
        <v/>
      </c>
      <c r="I57" t="str">
        <f t="shared" ca="1" si="6"/>
        <v/>
      </c>
      <c r="J57" t="str">
        <f t="shared" ca="1" si="7"/>
        <v/>
      </c>
    </row>
    <row r="58" spans="1:10" x14ac:dyDescent="0.25">
      <c r="A58" t="str">
        <f t="shared" si="4"/>
        <v/>
      </c>
      <c r="H58" s="4" t="str">
        <f t="shared" si="5"/>
        <v/>
      </c>
      <c r="I58" t="str">
        <f t="shared" ca="1" si="6"/>
        <v/>
      </c>
      <c r="J58" t="str">
        <f t="shared" ca="1" si="7"/>
        <v/>
      </c>
    </row>
    <row r="59" spans="1:10" x14ac:dyDescent="0.25">
      <c r="A59" t="str">
        <f t="shared" si="4"/>
        <v/>
      </c>
      <c r="H59" s="4" t="str">
        <f t="shared" si="5"/>
        <v/>
      </c>
      <c r="I59" t="str">
        <f t="shared" ca="1" si="6"/>
        <v/>
      </c>
      <c r="J59" t="str">
        <f t="shared" ca="1" si="7"/>
        <v/>
      </c>
    </row>
    <row r="60" spans="1:10" x14ac:dyDescent="0.25">
      <c r="A60" t="str">
        <f t="shared" si="4"/>
        <v/>
      </c>
      <c r="H60" s="4" t="str">
        <f t="shared" si="5"/>
        <v/>
      </c>
      <c r="I60" t="str">
        <f t="shared" ca="1" si="6"/>
        <v/>
      </c>
      <c r="J60" t="str">
        <f t="shared" ca="1" si="7"/>
        <v/>
      </c>
    </row>
    <row r="61" spans="1:10" x14ac:dyDescent="0.25">
      <c r="A61" t="str">
        <f t="shared" si="4"/>
        <v/>
      </c>
      <c r="H61" s="4" t="str">
        <f t="shared" si="5"/>
        <v/>
      </c>
      <c r="I61" t="str">
        <f t="shared" ca="1" si="6"/>
        <v/>
      </c>
      <c r="J61" t="str">
        <f t="shared" ca="1" si="7"/>
        <v/>
      </c>
    </row>
    <row r="62" spans="1:10" x14ac:dyDescent="0.25">
      <c r="A62" t="str">
        <f t="shared" si="4"/>
        <v/>
      </c>
      <c r="H62" s="4" t="str">
        <f t="shared" si="5"/>
        <v/>
      </c>
      <c r="I62" t="str">
        <f t="shared" ca="1" si="6"/>
        <v/>
      </c>
      <c r="J62" t="str">
        <f t="shared" ca="1" si="7"/>
        <v/>
      </c>
    </row>
    <row r="63" spans="1:10" x14ac:dyDescent="0.25">
      <c r="A63" t="str">
        <f t="shared" si="4"/>
        <v/>
      </c>
      <c r="H63" s="4" t="str">
        <f t="shared" si="5"/>
        <v/>
      </c>
      <c r="I63" t="str">
        <f t="shared" ca="1" si="6"/>
        <v/>
      </c>
      <c r="J63" t="str">
        <f t="shared" ca="1" si="7"/>
        <v/>
      </c>
    </row>
    <row r="64" spans="1:10" x14ac:dyDescent="0.25">
      <c r="A64" t="str">
        <f t="shared" si="4"/>
        <v/>
      </c>
      <c r="H64" s="4" t="str">
        <f t="shared" si="5"/>
        <v/>
      </c>
      <c r="I64" t="str">
        <f t="shared" ca="1" si="6"/>
        <v/>
      </c>
      <c r="J64" t="str">
        <f t="shared" ca="1" si="7"/>
        <v/>
      </c>
    </row>
    <row r="65" spans="1:10" x14ac:dyDescent="0.25">
      <c r="A65" t="str">
        <f t="shared" si="4"/>
        <v/>
      </c>
      <c r="H65" s="4" t="str">
        <f t="shared" si="5"/>
        <v/>
      </c>
      <c r="I65" t="str">
        <f t="shared" ca="1" si="6"/>
        <v/>
      </c>
      <c r="J65" t="str">
        <f t="shared" ca="1" si="7"/>
        <v/>
      </c>
    </row>
    <row r="66" spans="1:10" x14ac:dyDescent="0.25">
      <c r="A66" t="str">
        <f t="shared" ref="A66:A97" si="8">IF(B66="","",ROW()-1)</f>
        <v/>
      </c>
      <c r="H66" s="4" t="str">
        <f t="shared" ref="H66:H97" si="9">IF(B66="","",IF(G66="Concluída",1,IF(G66="Em andamento",0.5,0)))</f>
        <v/>
      </c>
      <c r="I66" t="str">
        <f t="shared" ref="I66:I97" ca="1" si="10">IF(F66="","",IF(G66="Concluída",0,F66-TODAY()))</f>
        <v/>
      </c>
      <c r="J66" t="str">
        <f t="shared" ref="J66:J97" ca="1" si="11">IF(F66="","",IF(G66="Concluída","CONCLUÍDA",IF(F66&lt;TODAY(),"ATRASADA","OK")))</f>
        <v/>
      </c>
    </row>
    <row r="67" spans="1:10" x14ac:dyDescent="0.25">
      <c r="A67" t="str">
        <f t="shared" si="8"/>
        <v/>
      </c>
      <c r="H67" s="4" t="str">
        <f t="shared" si="9"/>
        <v/>
      </c>
      <c r="I67" t="str">
        <f t="shared" ca="1" si="10"/>
        <v/>
      </c>
      <c r="J67" t="str">
        <f t="shared" ca="1" si="11"/>
        <v/>
      </c>
    </row>
    <row r="68" spans="1:10" x14ac:dyDescent="0.25">
      <c r="A68" t="str">
        <f t="shared" si="8"/>
        <v/>
      </c>
      <c r="H68" s="4" t="str">
        <f t="shared" si="9"/>
        <v/>
      </c>
      <c r="I68" t="str">
        <f t="shared" ca="1" si="10"/>
        <v/>
      </c>
      <c r="J68" t="str">
        <f t="shared" ca="1" si="11"/>
        <v/>
      </c>
    </row>
    <row r="69" spans="1:10" x14ac:dyDescent="0.25">
      <c r="A69" t="str">
        <f t="shared" si="8"/>
        <v/>
      </c>
      <c r="H69" s="4" t="str">
        <f t="shared" si="9"/>
        <v/>
      </c>
      <c r="I69" t="str">
        <f t="shared" ca="1" si="10"/>
        <v/>
      </c>
      <c r="J69" t="str">
        <f t="shared" ca="1" si="11"/>
        <v/>
      </c>
    </row>
    <row r="70" spans="1:10" x14ac:dyDescent="0.25">
      <c r="A70" t="str">
        <f t="shared" si="8"/>
        <v/>
      </c>
      <c r="H70" s="4" t="str">
        <f t="shared" si="9"/>
        <v/>
      </c>
      <c r="I70" t="str">
        <f t="shared" ca="1" si="10"/>
        <v/>
      </c>
      <c r="J70" t="str">
        <f t="shared" ca="1" si="11"/>
        <v/>
      </c>
    </row>
    <row r="71" spans="1:10" x14ac:dyDescent="0.25">
      <c r="A71" t="str">
        <f t="shared" si="8"/>
        <v/>
      </c>
      <c r="H71" s="4" t="str">
        <f t="shared" si="9"/>
        <v/>
      </c>
      <c r="I71" t="str">
        <f t="shared" ca="1" si="10"/>
        <v/>
      </c>
      <c r="J71" t="str">
        <f t="shared" ca="1" si="11"/>
        <v/>
      </c>
    </row>
    <row r="72" spans="1:10" x14ac:dyDescent="0.25">
      <c r="A72" t="str">
        <f t="shared" si="8"/>
        <v/>
      </c>
      <c r="H72" s="4" t="str">
        <f t="shared" si="9"/>
        <v/>
      </c>
      <c r="I72" t="str">
        <f t="shared" ca="1" si="10"/>
        <v/>
      </c>
      <c r="J72" t="str">
        <f t="shared" ca="1" si="11"/>
        <v/>
      </c>
    </row>
    <row r="73" spans="1:10" x14ac:dyDescent="0.25">
      <c r="A73" t="str">
        <f t="shared" si="8"/>
        <v/>
      </c>
      <c r="H73" s="4" t="str">
        <f t="shared" si="9"/>
        <v/>
      </c>
      <c r="I73" t="str">
        <f t="shared" ca="1" si="10"/>
        <v/>
      </c>
      <c r="J73" t="str">
        <f t="shared" ca="1" si="11"/>
        <v/>
      </c>
    </row>
    <row r="74" spans="1:10" x14ac:dyDescent="0.25">
      <c r="A74" t="str">
        <f t="shared" si="8"/>
        <v/>
      </c>
      <c r="H74" s="4" t="str">
        <f t="shared" si="9"/>
        <v/>
      </c>
      <c r="I74" t="str">
        <f t="shared" ca="1" si="10"/>
        <v/>
      </c>
      <c r="J74" t="str">
        <f t="shared" ca="1" si="11"/>
        <v/>
      </c>
    </row>
    <row r="75" spans="1:10" x14ac:dyDescent="0.25">
      <c r="A75" t="str">
        <f t="shared" si="8"/>
        <v/>
      </c>
      <c r="H75" s="4" t="str">
        <f t="shared" si="9"/>
        <v/>
      </c>
      <c r="I75" t="str">
        <f t="shared" ca="1" si="10"/>
        <v/>
      </c>
      <c r="J75" t="str">
        <f t="shared" ca="1" si="11"/>
        <v/>
      </c>
    </row>
    <row r="76" spans="1:10" x14ac:dyDescent="0.25">
      <c r="A76" t="str">
        <f t="shared" si="8"/>
        <v/>
      </c>
      <c r="H76" s="4" t="str">
        <f t="shared" si="9"/>
        <v/>
      </c>
      <c r="I76" t="str">
        <f t="shared" ca="1" si="10"/>
        <v/>
      </c>
      <c r="J76" t="str">
        <f t="shared" ca="1" si="11"/>
        <v/>
      </c>
    </row>
    <row r="77" spans="1:10" x14ac:dyDescent="0.25">
      <c r="A77" t="str">
        <f t="shared" si="8"/>
        <v/>
      </c>
      <c r="H77" s="4" t="str">
        <f t="shared" si="9"/>
        <v/>
      </c>
      <c r="I77" t="str">
        <f t="shared" ca="1" si="10"/>
        <v/>
      </c>
      <c r="J77" t="str">
        <f t="shared" ca="1" si="11"/>
        <v/>
      </c>
    </row>
    <row r="78" spans="1:10" x14ac:dyDescent="0.25">
      <c r="A78" t="str">
        <f t="shared" si="8"/>
        <v/>
      </c>
      <c r="H78" s="4" t="str">
        <f t="shared" si="9"/>
        <v/>
      </c>
      <c r="I78" t="str">
        <f t="shared" ca="1" si="10"/>
        <v/>
      </c>
      <c r="J78" t="str">
        <f t="shared" ca="1" si="11"/>
        <v/>
      </c>
    </row>
    <row r="79" spans="1:10" x14ac:dyDescent="0.25">
      <c r="A79" t="str">
        <f t="shared" si="8"/>
        <v/>
      </c>
      <c r="H79" s="4" t="str">
        <f t="shared" si="9"/>
        <v/>
      </c>
      <c r="I79" t="str">
        <f t="shared" ca="1" si="10"/>
        <v/>
      </c>
      <c r="J79" t="str">
        <f t="shared" ca="1" si="11"/>
        <v/>
      </c>
    </row>
    <row r="80" spans="1:10" x14ac:dyDescent="0.25">
      <c r="A80" t="str">
        <f t="shared" si="8"/>
        <v/>
      </c>
      <c r="H80" s="4" t="str">
        <f t="shared" si="9"/>
        <v/>
      </c>
      <c r="I80" t="str">
        <f t="shared" ca="1" si="10"/>
        <v/>
      </c>
      <c r="J80" t="str">
        <f t="shared" ca="1" si="11"/>
        <v/>
      </c>
    </row>
    <row r="81" spans="1:10" x14ac:dyDescent="0.25">
      <c r="A81" t="str">
        <f t="shared" si="8"/>
        <v/>
      </c>
      <c r="H81" s="4" t="str">
        <f t="shared" si="9"/>
        <v/>
      </c>
      <c r="I81" t="str">
        <f t="shared" ca="1" si="10"/>
        <v/>
      </c>
      <c r="J81" t="str">
        <f t="shared" ca="1" si="11"/>
        <v/>
      </c>
    </row>
    <row r="82" spans="1:10" x14ac:dyDescent="0.25">
      <c r="A82" t="str">
        <f t="shared" si="8"/>
        <v/>
      </c>
      <c r="H82" s="4" t="str">
        <f t="shared" si="9"/>
        <v/>
      </c>
      <c r="I82" t="str">
        <f t="shared" ca="1" si="10"/>
        <v/>
      </c>
      <c r="J82" t="str">
        <f t="shared" ca="1" si="11"/>
        <v/>
      </c>
    </row>
    <row r="83" spans="1:10" x14ac:dyDescent="0.25">
      <c r="A83" t="str">
        <f t="shared" si="8"/>
        <v/>
      </c>
      <c r="H83" s="4" t="str">
        <f t="shared" si="9"/>
        <v/>
      </c>
      <c r="I83" t="str">
        <f t="shared" ca="1" si="10"/>
        <v/>
      </c>
      <c r="J83" t="str">
        <f t="shared" ca="1" si="11"/>
        <v/>
      </c>
    </row>
    <row r="84" spans="1:10" x14ac:dyDescent="0.25">
      <c r="A84" t="str">
        <f t="shared" si="8"/>
        <v/>
      </c>
      <c r="H84" s="4" t="str">
        <f t="shared" si="9"/>
        <v/>
      </c>
      <c r="I84" t="str">
        <f t="shared" ca="1" si="10"/>
        <v/>
      </c>
      <c r="J84" t="str">
        <f t="shared" ca="1" si="11"/>
        <v/>
      </c>
    </row>
    <row r="85" spans="1:10" x14ac:dyDescent="0.25">
      <c r="A85" t="str">
        <f t="shared" si="8"/>
        <v/>
      </c>
      <c r="H85" s="4" t="str">
        <f t="shared" si="9"/>
        <v/>
      </c>
      <c r="I85" t="str">
        <f t="shared" ca="1" si="10"/>
        <v/>
      </c>
      <c r="J85" t="str">
        <f t="shared" ca="1" si="11"/>
        <v/>
      </c>
    </row>
    <row r="86" spans="1:10" x14ac:dyDescent="0.25">
      <c r="A86" t="str">
        <f t="shared" si="8"/>
        <v/>
      </c>
      <c r="H86" s="4" t="str">
        <f t="shared" si="9"/>
        <v/>
      </c>
      <c r="I86" t="str">
        <f t="shared" ca="1" si="10"/>
        <v/>
      </c>
      <c r="J86" t="str">
        <f t="shared" ca="1" si="11"/>
        <v/>
      </c>
    </row>
    <row r="87" spans="1:10" x14ac:dyDescent="0.25">
      <c r="A87" t="str">
        <f t="shared" si="8"/>
        <v/>
      </c>
      <c r="H87" s="4" t="str">
        <f t="shared" si="9"/>
        <v/>
      </c>
      <c r="I87" t="str">
        <f t="shared" ca="1" si="10"/>
        <v/>
      </c>
      <c r="J87" t="str">
        <f t="shared" ca="1" si="11"/>
        <v/>
      </c>
    </row>
    <row r="88" spans="1:10" x14ac:dyDescent="0.25">
      <c r="A88" t="str">
        <f t="shared" si="8"/>
        <v/>
      </c>
      <c r="H88" s="4" t="str">
        <f t="shared" si="9"/>
        <v/>
      </c>
      <c r="I88" t="str">
        <f t="shared" ca="1" si="10"/>
        <v/>
      </c>
      <c r="J88" t="str">
        <f t="shared" ca="1" si="11"/>
        <v/>
      </c>
    </row>
    <row r="89" spans="1:10" x14ac:dyDescent="0.25">
      <c r="A89" t="str">
        <f t="shared" si="8"/>
        <v/>
      </c>
      <c r="H89" s="4" t="str">
        <f t="shared" si="9"/>
        <v/>
      </c>
      <c r="I89" t="str">
        <f t="shared" ca="1" si="10"/>
        <v/>
      </c>
      <c r="J89" t="str">
        <f t="shared" ca="1" si="11"/>
        <v/>
      </c>
    </row>
    <row r="90" spans="1:10" x14ac:dyDescent="0.25">
      <c r="A90" t="str">
        <f t="shared" si="8"/>
        <v/>
      </c>
      <c r="H90" s="4" t="str">
        <f t="shared" si="9"/>
        <v/>
      </c>
      <c r="I90" t="str">
        <f t="shared" ca="1" si="10"/>
        <v/>
      </c>
      <c r="J90" t="str">
        <f t="shared" ca="1" si="11"/>
        <v/>
      </c>
    </row>
    <row r="91" spans="1:10" x14ac:dyDescent="0.25">
      <c r="A91" t="str">
        <f t="shared" si="8"/>
        <v/>
      </c>
      <c r="H91" s="4" t="str">
        <f t="shared" si="9"/>
        <v/>
      </c>
      <c r="I91" t="str">
        <f t="shared" ca="1" si="10"/>
        <v/>
      </c>
      <c r="J91" t="str">
        <f t="shared" ca="1" si="11"/>
        <v/>
      </c>
    </row>
    <row r="92" spans="1:10" x14ac:dyDescent="0.25">
      <c r="A92" t="str">
        <f t="shared" si="8"/>
        <v/>
      </c>
      <c r="H92" s="4" t="str">
        <f t="shared" si="9"/>
        <v/>
      </c>
      <c r="I92" t="str">
        <f t="shared" ca="1" si="10"/>
        <v/>
      </c>
      <c r="J92" t="str">
        <f t="shared" ca="1" si="11"/>
        <v/>
      </c>
    </row>
    <row r="93" spans="1:10" x14ac:dyDescent="0.25">
      <c r="A93" t="str">
        <f t="shared" si="8"/>
        <v/>
      </c>
      <c r="H93" s="4" t="str">
        <f t="shared" si="9"/>
        <v/>
      </c>
      <c r="I93" t="str">
        <f t="shared" ca="1" si="10"/>
        <v/>
      </c>
      <c r="J93" t="str">
        <f t="shared" ca="1" si="11"/>
        <v/>
      </c>
    </row>
    <row r="94" spans="1:10" x14ac:dyDescent="0.25">
      <c r="A94" t="str">
        <f t="shared" si="8"/>
        <v/>
      </c>
      <c r="H94" s="4" t="str">
        <f t="shared" si="9"/>
        <v/>
      </c>
      <c r="I94" t="str">
        <f t="shared" ca="1" si="10"/>
        <v/>
      </c>
      <c r="J94" t="str">
        <f t="shared" ca="1" si="11"/>
        <v/>
      </c>
    </row>
    <row r="95" spans="1:10" x14ac:dyDescent="0.25">
      <c r="A95" t="str">
        <f t="shared" si="8"/>
        <v/>
      </c>
      <c r="H95" s="4" t="str">
        <f t="shared" si="9"/>
        <v/>
      </c>
      <c r="I95" t="str">
        <f t="shared" ca="1" si="10"/>
        <v/>
      </c>
      <c r="J95" t="str">
        <f t="shared" ca="1" si="11"/>
        <v/>
      </c>
    </row>
    <row r="96" spans="1:10" x14ac:dyDescent="0.25">
      <c r="A96" t="str">
        <f t="shared" si="8"/>
        <v/>
      </c>
      <c r="H96" s="4" t="str">
        <f t="shared" si="9"/>
        <v/>
      </c>
      <c r="I96" t="str">
        <f t="shared" ca="1" si="10"/>
        <v/>
      </c>
      <c r="J96" t="str">
        <f t="shared" ca="1" si="11"/>
        <v/>
      </c>
    </row>
    <row r="97" spans="1:10" x14ac:dyDescent="0.25">
      <c r="A97" t="str">
        <f t="shared" si="8"/>
        <v/>
      </c>
      <c r="H97" s="4" t="str">
        <f t="shared" si="9"/>
        <v/>
      </c>
      <c r="I97" t="str">
        <f t="shared" ca="1" si="10"/>
        <v/>
      </c>
      <c r="J97" t="str">
        <f t="shared" ca="1" si="11"/>
        <v/>
      </c>
    </row>
    <row r="98" spans="1:10" x14ac:dyDescent="0.25">
      <c r="A98" t="str">
        <f t="shared" ref="A98:A129" si="12">IF(B98="","",ROW()-1)</f>
        <v/>
      </c>
      <c r="H98" s="4" t="str">
        <f t="shared" ref="H98:H129" si="13">IF(B98="","",IF(G98="Concluída",1,IF(G98="Em andamento",0.5,0)))</f>
        <v/>
      </c>
      <c r="I98" t="str">
        <f t="shared" ref="I98:I129" ca="1" si="14">IF(F98="","",IF(G98="Concluída",0,F98-TODAY()))</f>
        <v/>
      </c>
      <c r="J98" t="str">
        <f t="shared" ref="J98:J129" ca="1" si="15">IF(F98="","",IF(G98="Concluída","CONCLUÍDA",IF(F98&lt;TODAY(),"ATRASADA","OK")))</f>
        <v/>
      </c>
    </row>
    <row r="99" spans="1:10" x14ac:dyDescent="0.25">
      <c r="A99" t="str">
        <f t="shared" si="12"/>
        <v/>
      </c>
      <c r="H99" s="4" t="str">
        <f t="shared" si="13"/>
        <v/>
      </c>
      <c r="I99" t="str">
        <f t="shared" ca="1" si="14"/>
        <v/>
      </c>
      <c r="J99" t="str">
        <f t="shared" ca="1" si="15"/>
        <v/>
      </c>
    </row>
    <row r="100" spans="1:10" x14ac:dyDescent="0.25">
      <c r="A100" t="str">
        <f t="shared" si="12"/>
        <v/>
      </c>
      <c r="H100" s="4" t="str">
        <f t="shared" si="13"/>
        <v/>
      </c>
      <c r="I100" t="str">
        <f t="shared" ca="1" si="14"/>
        <v/>
      </c>
      <c r="J100" t="str">
        <f t="shared" ca="1" si="15"/>
        <v/>
      </c>
    </row>
    <row r="101" spans="1:10" x14ac:dyDescent="0.25">
      <c r="A101" t="str">
        <f t="shared" si="12"/>
        <v/>
      </c>
      <c r="H101" s="4" t="str">
        <f t="shared" si="13"/>
        <v/>
      </c>
      <c r="I101" t="str">
        <f t="shared" ca="1" si="14"/>
        <v/>
      </c>
      <c r="J101" t="str">
        <f t="shared" ca="1" si="15"/>
        <v/>
      </c>
    </row>
    <row r="102" spans="1:10" x14ac:dyDescent="0.25">
      <c r="A102" t="str">
        <f t="shared" si="12"/>
        <v/>
      </c>
      <c r="H102" s="4" t="str">
        <f t="shared" si="13"/>
        <v/>
      </c>
      <c r="I102" t="str">
        <f t="shared" ca="1" si="14"/>
        <v/>
      </c>
      <c r="J102" t="str">
        <f t="shared" ca="1" si="15"/>
        <v/>
      </c>
    </row>
    <row r="103" spans="1:10" x14ac:dyDescent="0.25">
      <c r="A103" t="str">
        <f t="shared" si="12"/>
        <v/>
      </c>
      <c r="H103" s="4" t="str">
        <f t="shared" si="13"/>
        <v/>
      </c>
      <c r="I103" t="str">
        <f t="shared" ca="1" si="14"/>
        <v/>
      </c>
      <c r="J103" t="str">
        <f t="shared" ca="1" si="15"/>
        <v/>
      </c>
    </row>
    <row r="104" spans="1:10" x14ac:dyDescent="0.25">
      <c r="A104" t="str">
        <f t="shared" si="12"/>
        <v/>
      </c>
      <c r="H104" s="4" t="str">
        <f t="shared" si="13"/>
        <v/>
      </c>
      <c r="I104" t="str">
        <f t="shared" ca="1" si="14"/>
        <v/>
      </c>
      <c r="J104" t="str">
        <f t="shared" ca="1" si="15"/>
        <v/>
      </c>
    </row>
    <row r="105" spans="1:10" x14ac:dyDescent="0.25">
      <c r="A105" t="str">
        <f t="shared" si="12"/>
        <v/>
      </c>
      <c r="H105" s="4" t="str">
        <f t="shared" si="13"/>
        <v/>
      </c>
      <c r="I105" t="str">
        <f t="shared" ca="1" si="14"/>
        <v/>
      </c>
      <c r="J105" t="str">
        <f t="shared" ca="1" si="15"/>
        <v/>
      </c>
    </row>
    <row r="106" spans="1:10" x14ac:dyDescent="0.25">
      <c r="A106" t="str">
        <f t="shared" si="12"/>
        <v/>
      </c>
      <c r="H106" s="4" t="str">
        <f t="shared" si="13"/>
        <v/>
      </c>
      <c r="I106" t="str">
        <f t="shared" ca="1" si="14"/>
        <v/>
      </c>
      <c r="J106" t="str">
        <f t="shared" ca="1" si="15"/>
        <v/>
      </c>
    </row>
    <row r="107" spans="1:10" x14ac:dyDescent="0.25">
      <c r="A107" t="str">
        <f t="shared" si="12"/>
        <v/>
      </c>
      <c r="H107" s="4" t="str">
        <f t="shared" si="13"/>
        <v/>
      </c>
      <c r="I107" t="str">
        <f t="shared" ca="1" si="14"/>
        <v/>
      </c>
      <c r="J107" t="str">
        <f t="shared" ca="1" si="15"/>
        <v/>
      </c>
    </row>
    <row r="108" spans="1:10" x14ac:dyDescent="0.25">
      <c r="A108" t="str">
        <f t="shared" si="12"/>
        <v/>
      </c>
      <c r="H108" s="4" t="str">
        <f t="shared" si="13"/>
        <v/>
      </c>
      <c r="I108" t="str">
        <f t="shared" ca="1" si="14"/>
        <v/>
      </c>
      <c r="J108" t="str">
        <f t="shared" ca="1" si="15"/>
        <v/>
      </c>
    </row>
    <row r="109" spans="1:10" x14ac:dyDescent="0.25">
      <c r="A109" t="str">
        <f t="shared" si="12"/>
        <v/>
      </c>
      <c r="H109" s="4" t="str">
        <f t="shared" si="13"/>
        <v/>
      </c>
      <c r="I109" t="str">
        <f t="shared" ca="1" si="14"/>
        <v/>
      </c>
      <c r="J109" t="str">
        <f t="shared" ca="1" si="15"/>
        <v/>
      </c>
    </row>
    <row r="110" spans="1:10" x14ac:dyDescent="0.25">
      <c r="A110" t="str">
        <f t="shared" si="12"/>
        <v/>
      </c>
      <c r="H110" s="4" t="str">
        <f t="shared" si="13"/>
        <v/>
      </c>
      <c r="I110" t="str">
        <f t="shared" ca="1" si="14"/>
        <v/>
      </c>
      <c r="J110" t="str">
        <f t="shared" ca="1" si="15"/>
        <v/>
      </c>
    </row>
    <row r="111" spans="1:10" x14ac:dyDescent="0.25">
      <c r="A111" t="str">
        <f t="shared" si="12"/>
        <v/>
      </c>
      <c r="H111" s="4" t="str">
        <f t="shared" si="13"/>
        <v/>
      </c>
      <c r="I111" t="str">
        <f t="shared" ca="1" si="14"/>
        <v/>
      </c>
      <c r="J111" t="str">
        <f t="shared" ca="1" si="15"/>
        <v/>
      </c>
    </row>
    <row r="112" spans="1:10" x14ac:dyDescent="0.25">
      <c r="A112" t="str">
        <f t="shared" si="12"/>
        <v/>
      </c>
      <c r="H112" s="4" t="str">
        <f t="shared" si="13"/>
        <v/>
      </c>
      <c r="I112" t="str">
        <f t="shared" ca="1" si="14"/>
        <v/>
      </c>
      <c r="J112" t="str">
        <f t="shared" ca="1" si="15"/>
        <v/>
      </c>
    </row>
    <row r="113" spans="1:10" x14ac:dyDescent="0.25">
      <c r="A113" t="str">
        <f t="shared" si="12"/>
        <v/>
      </c>
      <c r="H113" s="4" t="str">
        <f t="shared" si="13"/>
        <v/>
      </c>
      <c r="I113" t="str">
        <f t="shared" ca="1" si="14"/>
        <v/>
      </c>
      <c r="J113" t="str">
        <f t="shared" ca="1" si="15"/>
        <v/>
      </c>
    </row>
    <row r="114" spans="1:10" x14ac:dyDescent="0.25">
      <c r="A114" t="str">
        <f t="shared" si="12"/>
        <v/>
      </c>
      <c r="H114" s="4" t="str">
        <f t="shared" si="13"/>
        <v/>
      </c>
      <c r="I114" t="str">
        <f t="shared" ca="1" si="14"/>
        <v/>
      </c>
      <c r="J114" t="str">
        <f t="shared" ca="1" si="15"/>
        <v/>
      </c>
    </row>
    <row r="115" spans="1:10" x14ac:dyDescent="0.25">
      <c r="A115" t="str">
        <f t="shared" si="12"/>
        <v/>
      </c>
      <c r="H115" s="4" t="str">
        <f t="shared" si="13"/>
        <v/>
      </c>
      <c r="I115" t="str">
        <f t="shared" ca="1" si="14"/>
        <v/>
      </c>
      <c r="J115" t="str">
        <f t="shared" ca="1" si="15"/>
        <v/>
      </c>
    </row>
    <row r="116" spans="1:10" x14ac:dyDescent="0.25">
      <c r="A116" t="str">
        <f t="shared" si="12"/>
        <v/>
      </c>
      <c r="H116" s="4" t="str">
        <f t="shared" si="13"/>
        <v/>
      </c>
      <c r="I116" t="str">
        <f t="shared" ca="1" si="14"/>
        <v/>
      </c>
      <c r="J116" t="str">
        <f t="shared" ca="1" si="15"/>
        <v/>
      </c>
    </row>
    <row r="117" spans="1:10" x14ac:dyDescent="0.25">
      <c r="A117" t="str">
        <f t="shared" si="12"/>
        <v/>
      </c>
      <c r="H117" s="4" t="str">
        <f t="shared" si="13"/>
        <v/>
      </c>
      <c r="I117" t="str">
        <f t="shared" ca="1" si="14"/>
        <v/>
      </c>
      <c r="J117" t="str">
        <f t="shared" ca="1" si="15"/>
        <v/>
      </c>
    </row>
    <row r="118" spans="1:10" x14ac:dyDescent="0.25">
      <c r="A118" t="str">
        <f t="shared" si="12"/>
        <v/>
      </c>
      <c r="H118" s="4" t="str">
        <f t="shared" si="13"/>
        <v/>
      </c>
      <c r="I118" t="str">
        <f t="shared" ca="1" si="14"/>
        <v/>
      </c>
      <c r="J118" t="str">
        <f t="shared" ca="1" si="15"/>
        <v/>
      </c>
    </row>
    <row r="119" spans="1:10" x14ac:dyDescent="0.25">
      <c r="A119" t="str">
        <f t="shared" si="12"/>
        <v/>
      </c>
      <c r="H119" s="4" t="str">
        <f t="shared" si="13"/>
        <v/>
      </c>
      <c r="I119" t="str">
        <f t="shared" ca="1" si="14"/>
        <v/>
      </c>
      <c r="J119" t="str">
        <f t="shared" ca="1" si="15"/>
        <v/>
      </c>
    </row>
    <row r="120" spans="1:10" x14ac:dyDescent="0.25">
      <c r="A120" t="str">
        <f t="shared" si="12"/>
        <v/>
      </c>
      <c r="H120" s="4" t="str">
        <f t="shared" si="13"/>
        <v/>
      </c>
      <c r="I120" t="str">
        <f t="shared" ca="1" si="14"/>
        <v/>
      </c>
      <c r="J120" t="str">
        <f t="shared" ca="1" si="15"/>
        <v/>
      </c>
    </row>
    <row r="121" spans="1:10" x14ac:dyDescent="0.25">
      <c r="A121" t="str">
        <f t="shared" si="12"/>
        <v/>
      </c>
      <c r="H121" s="4" t="str">
        <f t="shared" si="13"/>
        <v/>
      </c>
      <c r="I121" t="str">
        <f t="shared" ca="1" si="14"/>
        <v/>
      </c>
      <c r="J121" t="str">
        <f t="shared" ca="1" si="15"/>
        <v/>
      </c>
    </row>
    <row r="122" spans="1:10" x14ac:dyDescent="0.25">
      <c r="A122" t="str">
        <f t="shared" si="12"/>
        <v/>
      </c>
      <c r="H122" s="4" t="str">
        <f t="shared" si="13"/>
        <v/>
      </c>
      <c r="I122" t="str">
        <f t="shared" ca="1" si="14"/>
        <v/>
      </c>
      <c r="J122" t="str">
        <f t="shared" ca="1" si="15"/>
        <v/>
      </c>
    </row>
    <row r="123" spans="1:10" x14ac:dyDescent="0.25">
      <c r="A123" t="str">
        <f t="shared" si="12"/>
        <v/>
      </c>
      <c r="H123" s="4" t="str">
        <f t="shared" si="13"/>
        <v/>
      </c>
      <c r="I123" t="str">
        <f t="shared" ca="1" si="14"/>
        <v/>
      </c>
      <c r="J123" t="str">
        <f t="shared" ca="1" si="15"/>
        <v/>
      </c>
    </row>
    <row r="124" spans="1:10" x14ac:dyDescent="0.25">
      <c r="A124" t="str">
        <f t="shared" si="12"/>
        <v/>
      </c>
      <c r="H124" s="4" t="str">
        <f t="shared" si="13"/>
        <v/>
      </c>
      <c r="I124" t="str">
        <f t="shared" ca="1" si="14"/>
        <v/>
      </c>
      <c r="J124" t="str">
        <f t="shared" ca="1" si="15"/>
        <v/>
      </c>
    </row>
    <row r="125" spans="1:10" x14ac:dyDescent="0.25">
      <c r="A125" t="str">
        <f t="shared" si="12"/>
        <v/>
      </c>
      <c r="H125" s="4" t="str">
        <f t="shared" si="13"/>
        <v/>
      </c>
      <c r="I125" t="str">
        <f t="shared" ca="1" si="14"/>
        <v/>
      </c>
      <c r="J125" t="str">
        <f t="shared" ca="1" si="15"/>
        <v/>
      </c>
    </row>
    <row r="126" spans="1:10" x14ac:dyDescent="0.25">
      <c r="A126" t="str">
        <f t="shared" si="12"/>
        <v/>
      </c>
      <c r="H126" s="4" t="str">
        <f t="shared" si="13"/>
        <v/>
      </c>
      <c r="I126" t="str">
        <f t="shared" ca="1" si="14"/>
        <v/>
      </c>
      <c r="J126" t="str">
        <f t="shared" ca="1" si="15"/>
        <v/>
      </c>
    </row>
    <row r="127" spans="1:10" x14ac:dyDescent="0.25">
      <c r="A127" t="str">
        <f t="shared" si="12"/>
        <v/>
      </c>
      <c r="H127" s="4" t="str">
        <f t="shared" si="13"/>
        <v/>
      </c>
      <c r="I127" t="str">
        <f t="shared" ca="1" si="14"/>
        <v/>
      </c>
      <c r="J127" t="str">
        <f t="shared" ca="1" si="15"/>
        <v/>
      </c>
    </row>
    <row r="128" spans="1:10" x14ac:dyDescent="0.25">
      <c r="A128" t="str">
        <f t="shared" si="12"/>
        <v/>
      </c>
      <c r="H128" s="4" t="str">
        <f t="shared" si="13"/>
        <v/>
      </c>
      <c r="I128" t="str">
        <f t="shared" ca="1" si="14"/>
        <v/>
      </c>
      <c r="J128" t="str">
        <f t="shared" ca="1" si="15"/>
        <v/>
      </c>
    </row>
    <row r="129" spans="1:10" x14ac:dyDescent="0.25">
      <c r="A129" t="str">
        <f t="shared" si="12"/>
        <v/>
      </c>
      <c r="H129" s="4" t="str">
        <f t="shared" si="13"/>
        <v/>
      </c>
      <c r="I129" t="str">
        <f t="shared" ca="1" si="14"/>
        <v/>
      </c>
      <c r="J129" t="str">
        <f t="shared" ca="1" si="15"/>
        <v/>
      </c>
    </row>
    <row r="130" spans="1:10" x14ac:dyDescent="0.25">
      <c r="A130" t="str">
        <f t="shared" ref="A130:A161" si="16">IF(B130="","",ROW()-1)</f>
        <v/>
      </c>
      <c r="H130" s="4" t="str">
        <f t="shared" ref="H130:H161" si="17">IF(B130="","",IF(G130="Concluída",1,IF(G130="Em andamento",0.5,0)))</f>
        <v/>
      </c>
      <c r="I130" t="str">
        <f t="shared" ref="I130:I161" ca="1" si="18">IF(F130="","",IF(G130="Concluída",0,F130-TODAY()))</f>
        <v/>
      </c>
      <c r="J130" t="str">
        <f t="shared" ref="J130:J161" ca="1" si="19">IF(F130="","",IF(G130="Concluída","CONCLUÍDA",IF(F130&lt;TODAY(),"ATRASADA","OK")))</f>
        <v/>
      </c>
    </row>
    <row r="131" spans="1:10" x14ac:dyDescent="0.25">
      <c r="A131" t="str">
        <f t="shared" si="16"/>
        <v/>
      </c>
      <c r="H131" s="4" t="str">
        <f t="shared" si="17"/>
        <v/>
      </c>
      <c r="I131" t="str">
        <f t="shared" ca="1" si="18"/>
        <v/>
      </c>
      <c r="J131" t="str">
        <f t="shared" ca="1" si="19"/>
        <v/>
      </c>
    </row>
    <row r="132" spans="1:10" x14ac:dyDescent="0.25">
      <c r="A132" t="str">
        <f t="shared" si="16"/>
        <v/>
      </c>
      <c r="H132" s="4" t="str">
        <f t="shared" si="17"/>
        <v/>
      </c>
      <c r="I132" t="str">
        <f t="shared" ca="1" si="18"/>
        <v/>
      </c>
      <c r="J132" t="str">
        <f t="shared" ca="1" si="19"/>
        <v/>
      </c>
    </row>
    <row r="133" spans="1:10" x14ac:dyDescent="0.25">
      <c r="A133" t="str">
        <f t="shared" si="16"/>
        <v/>
      </c>
      <c r="H133" s="4" t="str">
        <f t="shared" si="17"/>
        <v/>
      </c>
      <c r="I133" t="str">
        <f t="shared" ca="1" si="18"/>
        <v/>
      </c>
      <c r="J133" t="str">
        <f t="shared" ca="1" si="19"/>
        <v/>
      </c>
    </row>
    <row r="134" spans="1:10" x14ac:dyDescent="0.25">
      <c r="A134" t="str">
        <f t="shared" si="16"/>
        <v/>
      </c>
      <c r="H134" s="4" t="str">
        <f t="shared" si="17"/>
        <v/>
      </c>
      <c r="I134" t="str">
        <f t="shared" ca="1" si="18"/>
        <v/>
      </c>
      <c r="J134" t="str">
        <f t="shared" ca="1" si="19"/>
        <v/>
      </c>
    </row>
    <row r="135" spans="1:10" x14ac:dyDescent="0.25">
      <c r="A135" t="str">
        <f t="shared" si="16"/>
        <v/>
      </c>
      <c r="H135" s="4" t="str">
        <f t="shared" si="17"/>
        <v/>
      </c>
      <c r="I135" t="str">
        <f t="shared" ca="1" si="18"/>
        <v/>
      </c>
      <c r="J135" t="str">
        <f t="shared" ca="1" si="19"/>
        <v/>
      </c>
    </row>
    <row r="136" spans="1:10" x14ac:dyDescent="0.25">
      <c r="A136" t="str">
        <f t="shared" si="16"/>
        <v/>
      </c>
      <c r="H136" s="4" t="str">
        <f t="shared" si="17"/>
        <v/>
      </c>
      <c r="I136" t="str">
        <f t="shared" ca="1" si="18"/>
        <v/>
      </c>
      <c r="J136" t="str">
        <f t="shared" ca="1" si="19"/>
        <v/>
      </c>
    </row>
    <row r="137" spans="1:10" x14ac:dyDescent="0.25">
      <c r="A137" t="str">
        <f t="shared" si="16"/>
        <v/>
      </c>
      <c r="H137" s="4" t="str">
        <f t="shared" si="17"/>
        <v/>
      </c>
      <c r="I137" t="str">
        <f t="shared" ca="1" si="18"/>
        <v/>
      </c>
      <c r="J137" t="str">
        <f t="shared" ca="1" si="19"/>
        <v/>
      </c>
    </row>
    <row r="138" spans="1:10" x14ac:dyDescent="0.25">
      <c r="A138" t="str">
        <f t="shared" si="16"/>
        <v/>
      </c>
      <c r="H138" s="4" t="str">
        <f t="shared" si="17"/>
        <v/>
      </c>
      <c r="I138" t="str">
        <f t="shared" ca="1" si="18"/>
        <v/>
      </c>
      <c r="J138" t="str">
        <f t="shared" ca="1" si="19"/>
        <v/>
      </c>
    </row>
    <row r="139" spans="1:10" x14ac:dyDescent="0.25">
      <c r="A139" t="str">
        <f t="shared" si="16"/>
        <v/>
      </c>
      <c r="H139" s="4" t="str">
        <f t="shared" si="17"/>
        <v/>
      </c>
      <c r="I139" t="str">
        <f t="shared" ca="1" si="18"/>
        <v/>
      </c>
      <c r="J139" t="str">
        <f t="shared" ca="1" si="19"/>
        <v/>
      </c>
    </row>
    <row r="140" spans="1:10" x14ac:dyDescent="0.25">
      <c r="A140" t="str">
        <f t="shared" si="16"/>
        <v/>
      </c>
      <c r="H140" s="4" t="str">
        <f t="shared" si="17"/>
        <v/>
      </c>
      <c r="I140" t="str">
        <f t="shared" ca="1" si="18"/>
        <v/>
      </c>
      <c r="J140" t="str">
        <f t="shared" ca="1" si="19"/>
        <v/>
      </c>
    </row>
    <row r="141" spans="1:10" x14ac:dyDescent="0.25">
      <c r="A141" t="str">
        <f t="shared" si="16"/>
        <v/>
      </c>
      <c r="H141" s="4" t="str">
        <f t="shared" si="17"/>
        <v/>
      </c>
      <c r="I141" t="str">
        <f t="shared" ca="1" si="18"/>
        <v/>
      </c>
      <c r="J141" t="str">
        <f t="shared" ca="1" si="19"/>
        <v/>
      </c>
    </row>
    <row r="142" spans="1:10" x14ac:dyDescent="0.25">
      <c r="A142" t="str">
        <f t="shared" si="16"/>
        <v/>
      </c>
      <c r="H142" s="4" t="str">
        <f t="shared" si="17"/>
        <v/>
      </c>
      <c r="I142" t="str">
        <f t="shared" ca="1" si="18"/>
        <v/>
      </c>
      <c r="J142" t="str">
        <f t="shared" ca="1" si="19"/>
        <v/>
      </c>
    </row>
    <row r="143" spans="1:10" x14ac:dyDescent="0.25">
      <c r="A143" t="str">
        <f t="shared" si="16"/>
        <v/>
      </c>
      <c r="H143" s="4" t="str">
        <f t="shared" si="17"/>
        <v/>
      </c>
      <c r="I143" t="str">
        <f t="shared" ca="1" si="18"/>
        <v/>
      </c>
      <c r="J143" t="str">
        <f t="shared" ca="1" si="19"/>
        <v/>
      </c>
    </row>
    <row r="144" spans="1:10" x14ac:dyDescent="0.25">
      <c r="A144" t="str">
        <f t="shared" si="16"/>
        <v/>
      </c>
      <c r="H144" s="4" t="str">
        <f t="shared" si="17"/>
        <v/>
      </c>
      <c r="I144" t="str">
        <f t="shared" ca="1" si="18"/>
        <v/>
      </c>
      <c r="J144" t="str">
        <f t="shared" ca="1" si="19"/>
        <v/>
      </c>
    </row>
    <row r="145" spans="1:10" x14ac:dyDescent="0.25">
      <c r="A145" t="str">
        <f t="shared" si="16"/>
        <v/>
      </c>
      <c r="H145" s="4" t="str">
        <f t="shared" si="17"/>
        <v/>
      </c>
      <c r="I145" t="str">
        <f t="shared" ca="1" si="18"/>
        <v/>
      </c>
      <c r="J145" t="str">
        <f t="shared" ca="1" si="19"/>
        <v/>
      </c>
    </row>
    <row r="146" spans="1:10" x14ac:dyDescent="0.25">
      <c r="A146" t="str">
        <f t="shared" si="16"/>
        <v/>
      </c>
      <c r="H146" s="4" t="str">
        <f t="shared" si="17"/>
        <v/>
      </c>
      <c r="I146" t="str">
        <f t="shared" ca="1" si="18"/>
        <v/>
      </c>
      <c r="J146" t="str">
        <f t="shared" ca="1" si="19"/>
        <v/>
      </c>
    </row>
    <row r="147" spans="1:10" x14ac:dyDescent="0.25">
      <c r="A147" t="str">
        <f t="shared" si="16"/>
        <v/>
      </c>
      <c r="H147" s="4" t="str">
        <f t="shared" si="17"/>
        <v/>
      </c>
      <c r="I147" t="str">
        <f t="shared" ca="1" si="18"/>
        <v/>
      </c>
      <c r="J147" t="str">
        <f t="shared" ca="1" si="19"/>
        <v/>
      </c>
    </row>
    <row r="148" spans="1:10" x14ac:dyDescent="0.25">
      <c r="A148" t="str">
        <f t="shared" si="16"/>
        <v/>
      </c>
      <c r="H148" s="4" t="str">
        <f t="shared" si="17"/>
        <v/>
      </c>
      <c r="I148" t="str">
        <f t="shared" ca="1" si="18"/>
        <v/>
      </c>
      <c r="J148" t="str">
        <f t="shared" ca="1" si="19"/>
        <v/>
      </c>
    </row>
    <row r="149" spans="1:10" x14ac:dyDescent="0.25">
      <c r="A149" t="str">
        <f t="shared" si="16"/>
        <v/>
      </c>
      <c r="H149" s="4" t="str">
        <f t="shared" si="17"/>
        <v/>
      </c>
      <c r="I149" t="str">
        <f t="shared" ca="1" si="18"/>
        <v/>
      </c>
      <c r="J149" t="str">
        <f t="shared" ca="1" si="19"/>
        <v/>
      </c>
    </row>
    <row r="150" spans="1:10" x14ac:dyDescent="0.25">
      <c r="A150" t="str">
        <f t="shared" si="16"/>
        <v/>
      </c>
      <c r="H150" s="4" t="str">
        <f t="shared" si="17"/>
        <v/>
      </c>
      <c r="I150" t="str">
        <f t="shared" ca="1" si="18"/>
        <v/>
      </c>
      <c r="J150" t="str">
        <f t="shared" ca="1" si="19"/>
        <v/>
      </c>
    </row>
    <row r="151" spans="1:10" x14ac:dyDescent="0.25">
      <c r="A151" t="str">
        <f t="shared" si="16"/>
        <v/>
      </c>
      <c r="H151" s="4" t="str">
        <f t="shared" si="17"/>
        <v/>
      </c>
      <c r="I151" t="str">
        <f t="shared" ca="1" si="18"/>
        <v/>
      </c>
      <c r="J151" t="str">
        <f t="shared" ca="1" si="19"/>
        <v/>
      </c>
    </row>
    <row r="152" spans="1:10" x14ac:dyDescent="0.25">
      <c r="A152" t="str">
        <f t="shared" si="16"/>
        <v/>
      </c>
      <c r="H152" s="4" t="str">
        <f t="shared" si="17"/>
        <v/>
      </c>
      <c r="I152" t="str">
        <f t="shared" ca="1" si="18"/>
        <v/>
      </c>
      <c r="J152" t="str">
        <f t="shared" ca="1" si="19"/>
        <v/>
      </c>
    </row>
    <row r="153" spans="1:10" x14ac:dyDescent="0.25">
      <c r="A153" t="str">
        <f t="shared" si="16"/>
        <v/>
      </c>
      <c r="H153" s="4" t="str">
        <f t="shared" si="17"/>
        <v/>
      </c>
      <c r="I153" t="str">
        <f t="shared" ca="1" si="18"/>
        <v/>
      </c>
      <c r="J153" t="str">
        <f t="shared" ca="1" si="19"/>
        <v/>
      </c>
    </row>
    <row r="154" spans="1:10" x14ac:dyDescent="0.25">
      <c r="A154" t="str">
        <f t="shared" si="16"/>
        <v/>
      </c>
      <c r="H154" s="4" t="str">
        <f t="shared" si="17"/>
        <v/>
      </c>
      <c r="I154" t="str">
        <f t="shared" ca="1" si="18"/>
        <v/>
      </c>
      <c r="J154" t="str">
        <f t="shared" ca="1" si="19"/>
        <v/>
      </c>
    </row>
    <row r="155" spans="1:10" x14ac:dyDescent="0.25">
      <c r="A155" t="str">
        <f t="shared" si="16"/>
        <v/>
      </c>
      <c r="H155" s="4" t="str">
        <f t="shared" si="17"/>
        <v/>
      </c>
      <c r="I155" t="str">
        <f t="shared" ca="1" si="18"/>
        <v/>
      </c>
      <c r="J155" t="str">
        <f t="shared" ca="1" si="19"/>
        <v/>
      </c>
    </row>
    <row r="156" spans="1:10" x14ac:dyDescent="0.25">
      <c r="A156" t="str">
        <f t="shared" si="16"/>
        <v/>
      </c>
      <c r="H156" s="4" t="str">
        <f t="shared" si="17"/>
        <v/>
      </c>
      <c r="I156" t="str">
        <f t="shared" ca="1" si="18"/>
        <v/>
      </c>
      <c r="J156" t="str">
        <f t="shared" ca="1" si="19"/>
        <v/>
      </c>
    </row>
    <row r="157" spans="1:10" x14ac:dyDescent="0.25">
      <c r="A157" t="str">
        <f t="shared" si="16"/>
        <v/>
      </c>
      <c r="H157" s="4" t="str">
        <f t="shared" si="17"/>
        <v/>
      </c>
      <c r="I157" t="str">
        <f t="shared" ca="1" si="18"/>
        <v/>
      </c>
      <c r="J157" t="str">
        <f t="shared" ca="1" si="19"/>
        <v/>
      </c>
    </row>
    <row r="158" spans="1:10" x14ac:dyDescent="0.25">
      <c r="A158" t="str">
        <f t="shared" si="16"/>
        <v/>
      </c>
      <c r="H158" s="4" t="str">
        <f t="shared" si="17"/>
        <v/>
      </c>
      <c r="I158" t="str">
        <f t="shared" ca="1" si="18"/>
        <v/>
      </c>
      <c r="J158" t="str">
        <f t="shared" ca="1" si="19"/>
        <v/>
      </c>
    </row>
    <row r="159" spans="1:10" x14ac:dyDescent="0.25">
      <c r="A159" t="str">
        <f t="shared" si="16"/>
        <v/>
      </c>
      <c r="H159" s="4" t="str">
        <f t="shared" si="17"/>
        <v/>
      </c>
      <c r="I159" t="str">
        <f t="shared" ca="1" si="18"/>
        <v/>
      </c>
      <c r="J159" t="str">
        <f t="shared" ca="1" si="19"/>
        <v/>
      </c>
    </row>
    <row r="160" spans="1:10" x14ac:dyDescent="0.25">
      <c r="A160" t="str">
        <f t="shared" si="16"/>
        <v/>
      </c>
      <c r="H160" s="4" t="str">
        <f t="shared" si="17"/>
        <v/>
      </c>
      <c r="I160" t="str">
        <f t="shared" ca="1" si="18"/>
        <v/>
      </c>
      <c r="J160" t="str">
        <f t="shared" ca="1" si="19"/>
        <v/>
      </c>
    </row>
    <row r="161" spans="1:10" x14ac:dyDescent="0.25">
      <c r="A161" t="str">
        <f t="shared" si="16"/>
        <v/>
      </c>
      <c r="H161" s="4" t="str">
        <f t="shared" si="17"/>
        <v/>
      </c>
      <c r="I161" t="str">
        <f t="shared" ca="1" si="18"/>
        <v/>
      </c>
      <c r="J161" t="str">
        <f t="shared" ca="1" si="19"/>
        <v/>
      </c>
    </row>
    <row r="162" spans="1:10" x14ac:dyDescent="0.25">
      <c r="A162" t="str">
        <f t="shared" ref="A162:A193" si="20">IF(B162="","",ROW()-1)</f>
        <v/>
      </c>
      <c r="H162" s="4" t="str">
        <f t="shared" ref="H162:H193" si="21">IF(B162="","",IF(G162="Concluída",1,IF(G162="Em andamento",0.5,0)))</f>
        <v/>
      </c>
      <c r="I162" t="str">
        <f t="shared" ref="I162:I193" ca="1" si="22">IF(F162="","",IF(G162="Concluída",0,F162-TODAY()))</f>
        <v/>
      </c>
      <c r="J162" t="str">
        <f t="shared" ref="J162:J193" ca="1" si="23">IF(F162="","",IF(G162="Concluída","CONCLUÍDA",IF(F162&lt;TODAY(),"ATRASADA","OK")))</f>
        <v/>
      </c>
    </row>
    <row r="163" spans="1:10" x14ac:dyDescent="0.25">
      <c r="A163" t="str">
        <f t="shared" si="20"/>
        <v/>
      </c>
      <c r="H163" s="4" t="str">
        <f t="shared" si="21"/>
        <v/>
      </c>
      <c r="I163" t="str">
        <f t="shared" ca="1" si="22"/>
        <v/>
      </c>
      <c r="J163" t="str">
        <f t="shared" ca="1" si="23"/>
        <v/>
      </c>
    </row>
    <row r="164" spans="1:10" x14ac:dyDescent="0.25">
      <c r="A164" t="str">
        <f t="shared" si="20"/>
        <v/>
      </c>
      <c r="H164" s="4" t="str">
        <f t="shared" si="21"/>
        <v/>
      </c>
      <c r="I164" t="str">
        <f t="shared" ca="1" si="22"/>
        <v/>
      </c>
      <c r="J164" t="str">
        <f t="shared" ca="1" si="23"/>
        <v/>
      </c>
    </row>
    <row r="165" spans="1:10" x14ac:dyDescent="0.25">
      <c r="A165" t="str">
        <f t="shared" si="20"/>
        <v/>
      </c>
      <c r="H165" s="4" t="str">
        <f t="shared" si="21"/>
        <v/>
      </c>
      <c r="I165" t="str">
        <f t="shared" ca="1" si="22"/>
        <v/>
      </c>
      <c r="J165" t="str">
        <f t="shared" ca="1" si="23"/>
        <v/>
      </c>
    </row>
    <row r="166" spans="1:10" x14ac:dyDescent="0.25">
      <c r="A166" t="str">
        <f t="shared" si="20"/>
        <v/>
      </c>
      <c r="H166" s="4" t="str">
        <f t="shared" si="21"/>
        <v/>
      </c>
      <c r="I166" t="str">
        <f t="shared" ca="1" si="22"/>
        <v/>
      </c>
      <c r="J166" t="str">
        <f t="shared" ca="1" si="23"/>
        <v/>
      </c>
    </row>
    <row r="167" spans="1:10" x14ac:dyDescent="0.25">
      <c r="A167" t="str">
        <f t="shared" si="20"/>
        <v/>
      </c>
      <c r="H167" s="4" t="str">
        <f t="shared" si="21"/>
        <v/>
      </c>
      <c r="I167" t="str">
        <f t="shared" ca="1" si="22"/>
        <v/>
      </c>
      <c r="J167" t="str">
        <f t="shared" ca="1" si="23"/>
        <v/>
      </c>
    </row>
    <row r="168" spans="1:10" x14ac:dyDescent="0.25">
      <c r="A168" t="str">
        <f t="shared" si="20"/>
        <v/>
      </c>
      <c r="H168" s="4" t="str">
        <f t="shared" si="21"/>
        <v/>
      </c>
      <c r="I168" t="str">
        <f t="shared" ca="1" si="22"/>
        <v/>
      </c>
      <c r="J168" t="str">
        <f t="shared" ca="1" si="23"/>
        <v/>
      </c>
    </row>
    <row r="169" spans="1:10" x14ac:dyDescent="0.25">
      <c r="A169" t="str">
        <f t="shared" si="20"/>
        <v/>
      </c>
      <c r="H169" s="4" t="str">
        <f t="shared" si="21"/>
        <v/>
      </c>
      <c r="I169" t="str">
        <f t="shared" ca="1" si="22"/>
        <v/>
      </c>
      <c r="J169" t="str">
        <f t="shared" ca="1" si="23"/>
        <v/>
      </c>
    </row>
    <row r="170" spans="1:10" x14ac:dyDescent="0.25">
      <c r="A170" t="str">
        <f t="shared" si="20"/>
        <v/>
      </c>
      <c r="H170" s="4" t="str">
        <f t="shared" si="21"/>
        <v/>
      </c>
      <c r="I170" t="str">
        <f t="shared" ca="1" si="22"/>
        <v/>
      </c>
      <c r="J170" t="str">
        <f t="shared" ca="1" si="23"/>
        <v/>
      </c>
    </row>
    <row r="171" spans="1:10" x14ac:dyDescent="0.25">
      <c r="A171" t="str">
        <f t="shared" si="20"/>
        <v/>
      </c>
      <c r="H171" s="4" t="str">
        <f t="shared" si="21"/>
        <v/>
      </c>
      <c r="I171" t="str">
        <f t="shared" ca="1" si="22"/>
        <v/>
      </c>
      <c r="J171" t="str">
        <f t="shared" ca="1" si="23"/>
        <v/>
      </c>
    </row>
    <row r="172" spans="1:10" x14ac:dyDescent="0.25">
      <c r="A172" t="str">
        <f t="shared" si="20"/>
        <v/>
      </c>
      <c r="H172" s="4" t="str">
        <f t="shared" si="21"/>
        <v/>
      </c>
      <c r="I172" t="str">
        <f t="shared" ca="1" si="22"/>
        <v/>
      </c>
      <c r="J172" t="str">
        <f t="shared" ca="1" si="23"/>
        <v/>
      </c>
    </row>
    <row r="173" spans="1:10" x14ac:dyDescent="0.25">
      <c r="A173" t="str">
        <f t="shared" si="20"/>
        <v/>
      </c>
      <c r="H173" s="4" t="str">
        <f t="shared" si="21"/>
        <v/>
      </c>
      <c r="I173" t="str">
        <f t="shared" ca="1" si="22"/>
        <v/>
      </c>
      <c r="J173" t="str">
        <f t="shared" ca="1" si="23"/>
        <v/>
      </c>
    </row>
    <row r="174" spans="1:10" x14ac:dyDescent="0.25">
      <c r="A174" t="str">
        <f t="shared" si="20"/>
        <v/>
      </c>
      <c r="H174" s="4" t="str">
        <f t="shared" si="21"/>
        <v/>
      </c>
      <c r="I174" t="str">
        <f t="shared" ca="1" si="22"/>
        <v/>
      </c>
      <c r="J174" t="str">
        <f t="shared" ca="1" si="23"/>
        <v/>
      </c>
    </row>
    <row r="175" spans="1:10" x14ac:dyDescent="0.25">
      <c r="A175" t="str">
        <f t="shared" si="20"/>
        <v/>
      </c>
      <c r="H175" s="4" t="str">
        <f t="shared" si="21"/>
        <v/>
      </c>
      <c r="I175" t="str">
        <f t="shared" ca="1" si="22"/>
        <v/>
      </c>
      <c r="J175" t="str">
        <f t="shared" ca="1" si="23"/>
        <v/>
      </c>
    </row>
    <row r="176" spans="1:10" x14ac:dyDescent="0.25">
      <c r="A176" t="str">
        <f t="shared" si="20"/>
        <v/>
      </c>
      <c r="H176" s="4" t="str">
        <f t="shared" si="21"/>
        <v/>
      </c>
      <c r="I176" t="str">
        <f t="shared" ca="1" si="22"/>
        <v/>
      </c>
      <c r="J176" t="str">
        <f t="shared" ca="1" si="23"/>
        <v/>
      </c>
    </row>
    <row r="177" spans="1:10" x14ac:dyDescent="0.25">
      <c r="A177" t="str">
        <f t="shared" si="20"/>
        <v/>
      </c>
      <c r="H177" s="4" t="str">
        <f t="shared" si="21"/>
        <v/>
      </c>
      <c r="I177" t="str">
        <f t="shared" ca="1" si="22"/>
        <v/>
      </c>
      <c r="J177" t="str">
        <f t="shared" ca="1" si="23"/>
        <v/>
      </c>
    </row>
    <row r="178" spans="1:10" x14ac:dyDescent="0.25">
      <c r="A178" t="str">
        <f t="shared" si="20"/>
        <v/>
      </c>
      <c r="H178" s="4" t="str">
        <f t="shared" si="21"/>
        <v/>
      </c>
      <c r="I178" t="str">
        <f t="shared" ca="1" si="22"/>
        <v/>
      </c>
      <c r="J178" t="str">
        <f t="shared" ca="1" si="23"/>
        <v/>
      </c>
    </row>
    <row r="179" spans="1:10" x14ac:dyDescent="0.25">
      <c r="A179" t="str">
        <f t="shared" si="20"/>
        <v/>
      </c>
      <c r="H179" s="4" t="str">
        <f t="shared" si="21"/>
        <v/>
      </c>
      <c r="I179" t="str">
        <f t="shared" ca="1" si="22"/>
        <v/>
      </c>
      <c r="J179" t="str">
        <f t="shared" ca="1" si="23"/>
        <v/>
      </c>
    </row>
    <row r="180" spans="1:10" x14ac:dyDescent="0.25">
      <c r="A180" t="str">
        <f t="shared" si="20"/>
        <v/>
      </c>
      <c r="H180" s="4" t="str">
        <f t="shared" si="21"/>
        <v/>
      </c>
      <c r="I180" t="str">
        <f t="shared" ca="1" si="22"/>
        <v/>
      </c>
      <c r="J180" t="str">
        <f t="shared" ca="1" si="23"/>
        <v/>
      </c>
    </row>
    <row r="181" spans="1:10" x14ac:dyDescent="0.25">
      <c r="A181" t="str">
        <f t="shared" si="20"/>
        <v/>
      </c>
      <c r="H181" s="4" t="str">
        <f t="shared" si="21"/>
        <v/>
      </c>
      <c r="I181" t="str">
        <f t="shared" ca="1" si="22"/>
        <v/>
      </c>
      <c r="J181" t="str">
        <f t="shared" ca="1" si="23"/>
        <v/>
      </c>
    </row>
    <row r="182" spans="1:10" x14ac:dyDescent="0.25">
      <c r="A182" t="str">
        <f t="shared" si="20"/>
        <v/>
      </c>
      <c r="H182" s="4" t="str">
        <f t="shared" si="21"/>
        <v/>
      </c>
      <c r="I182" t="str">
        <f t="shared" ca="1" si="22"/>
        <v/>
      </c>
      <c r="J182" t="str">
        <f t="shared" ca="1" si="23"/>
        <v/>
      </c>
    </row>
    <row r="183" spans="1:10" x14ac:dyDescent="0.25">
      <c r="A183" t="str">
        <f t="shared" si="20"/>
        <v/>
      </c>
      <c r="H183" s="4" t="str">
        <f t="shared" si="21"/>
        <v/>
      </c>
      <c r="I183" t="str">
        <f t="shared" ca="1" si="22"/>
        <v/>
      </c>
      <c r="J183" t="str">
        <f t="shared" ca="1" si="23"/>
        <v/>
      </c>
    </row>
    <row r="184" spans="1:10" x14ac:dyDescent="0.25">
      <c r="A184" t="str">
        <f t="shared" si="20"/>
        <v/>
      </c>
      <c r="H184" s="4" t="str">
        <f t="shared" si="21"/>
        <v/>
      </c>
      <c r="I184" t="str">
        <f t="shared" ca="1" si="22"/>
        <v/>
      </c>
      <c r="J184" t="str">
        <f t="shared" ca="1" si="23"/>
        <v/>
      </c>
    </row>
    <row r="185" spans="1:10" x14ac:dyDescent="0.25">
      <c r="A185" t="str">
        <f t="shared" si="20"/>
        <v/>
      </c>
      <c r="H185" s="4" t="str">
        <f t="shared" si="21"/>
        <v/>
      </c>
      <c r="I185" t="str">
        <f t="shared" ca="1" si="22"/>
        <v/>
      </c>
      <c r="J185" t="str">
        <f t="shared" ca="1" si="23"/>
        <v/>
      </c>
    </row>
    <row r="186" spans="1:10" x14ac:dyDescent="0.25">
      <c r="A186" t="str">
        <f t="shared" si="20"/>
        <v/>
      </c>
      <c r="H186" s="4" t="str">
        <f t="shared" si="21"/>
        <v/>
      </c>
      <c r="I186" t="str">
        <f t="shared" ca="1" si="22"/>
        <v/>
      </c>
      <c r="J186" t="str">
        <f t="shared" ca="1" si="23"/>
        <v/>
      </c>
    </row>
    <row r="187" spans="1:10" x14ac:dyDescent="0.25">
      <c r="A187" t="str">
        <f t="shared" si="20"/>
        <v/>
      </c>
      <c r="H187" s="4" t="str">
        <f t="shared" si="21"/>
        <v/>
      </c>
      <c r="I187" t="str">
        <f t="shared" ca="1" si="22"/>
        <v/>
      </c>
      <c r="J187" t="str">
        <f t="shared" ca="1" si="23"/>
        <v/>
      </c>
    </row>
    <row r="188" spans="1:10" x14ac:dyDescent="0.25">
      <c r="A188" t="str">
        <f t="shared" si="20"/>
        <v/>
      </c>
      <c r="H188" s="4" t="str">
        <f t="shared" si="21"/>
        <v/>
      </c>
      <c r="I188" t="str">
        <f t="shared" ca="1" si="22"/>
        <v/>
      </c>
      <c r="J188" t="str">
        <f t="shared" ca="1" si="23"/>
        <v/>
      </c>
    </row>
    <row r="189" spans="1:10" x14ac:dyDescent="0.25">
      <c r="A189" t="str">
        <f t="shared" si="20"/>
        <v/>
      </c>
      <c r="H189" s="4" t="str">
        <f t="shared" si="21"/>
        <v/>
      </c>
      <c r="I189" t="str">
        <f t="shared" ca="1" si="22"/>
        <v/>
      </c>
      <c r="J189" t="str">
        <f t="shared" ca="1" si="23"/>
        <v/>
      </c>
    </row>
    <row r="190" spans="1:10" x14ac:dyDescent="0.25">
      <c r="A190" t="str">
        <f t="shared" si="20"/>
        <v/>
      </c>
      <c r="H190" s="4" t="str">
        <f t="shared" si="21"/>
        <v/>
      </c>
      <c r="I190" t="str">
        <f t="shared" ca="1" si="22"/>
        <v/>
      </c>
      <c r="J190" t="str">
        <f t="shared" ca="1" si="23"/>
        <v/>
      </c>
    </row>
    <row r="191" spans="1:10" x14ac:dyDescent="0.25">
      <c r="A191" t="str">
        <f t="shared" si="20"/>
        <v/>
      </c>
      <c r="H191" s="4" t="str">
        <f t="shared" si="21"/>
        <v/>
      </c>
      <c r="I191" t="str">
        <f t="shared" ca="1" si="22"/>
        <v/>
      </c>
      <c r="J191" t="str">
        <f t="shared" ca="1" si="23"/>
        <v/>
      </c>
    </row>
    <row r="192" spans="1:10" x14ac:dyDescent="0.25">
      <c r="A192" t="str">
        <f t="shared" si="20"/>
        <v/>
      </c>
      <c r="H192" s="4" t="str">
        <f t="shared" si="21"/>
        <v/>
      </c>
      <c r="I192" t="str">
        <f t="shared" ca="1" si="22"/>
        <v/>
      </c>
      <c r="J192" t="str">
        <f t="shared" ca="1" si="23"/>
        <v/>
      </c>
    </row>
    <row r="193" spans="1:10" x14ac:dyDescent="0.25">
      <c r="A193" t="str">
        <f t="shared" si="20"/>
        <v/>
      </c>
      <c r="H193" s="4" t="str">
        <f t="shared" si="21"/>
        <v/>
      </c>
      <c r="I193" t="str">
        <f t="shared" ca="1" si="22"/>
        <v/>
      </c>
      <c r="J193" t="str">
        <f t="shared" ca="1" si="23"/>
        <v/>
      </c>
    </row>
    <row r="194" spans="1:10" x14ac:dyDescent="0.25">
      <c r="A194" t="str">
        <f t="shared" ref="A194:A200" si="24">IF(B194="","",ROW()-1)</f>
        <v/>
      </c>
      <c r="H194" s="4" t="str">
        <f t="shared" ref="H194:H200" si="25">IF(B194="","",IF(G194="Concluída",1,IF(G194="Em andamento",0.5,0)))</f>
        <v/>
      </c>
      <c r="I194" t="str">
        <f t="shared" ref="I194:I200" ca="1" si="26">IF(F194="","",IF(G194="Concluída",0,F194-TODAY()))</f>
        <v/>
      </c>
      <c r="J194" t="str">
        <f t="shared" ref="J194:J200" ca="1" si="27">IF(F194="","",IF(G194="Concluída","CONCLUÍDA",IF(F194&lt;TODAY(),"ATRASADA","OK")))</f>
        <v/>
      </c>
    </row>
    <row r="195" spans="1:10" x14ac:dyDescent="0.25">
      <c r="A195" t="str">
        <f t="shared" si="24"/>
        <v/>
      </c>
      <c r="H195" s="4" t="str">
        <f t="shared" si="25"/>
        <v/>
      </c>
      <c r="I195" t="str">
        <f t="shared" ca="1" si="26"/>
        <v/>
      </c>
      <c r="J195" t="str">
        <f t="shared" ca="1" si="27"/>
        <v/>
      </c>
    </row>
    <row r="196" spans="1:10" x14ac:dyDescent="0.25">
      <c r="A196" t="str">
        <f t="shared" si="24"/>
        <v/>
      </c>
      <c r="H196" s="4" t="str">
        <f t="shared" si="25"/>
        <v/>
      </c>
      <c r="I196" t="str">
        <f t="shared" ca="1" si="26"/>
        <v/>
      </c>
      <c r="J196" t="str">
        <f t="shared" ca="1" si="27"/>
        <v/>
      </c>
    </row>
    <row r="197" spans="1:10" x14ac:dyDescent="0.25">
      <c r="A197" t="str">
        <f t="shared" si="24"/>
        <v/>
      </c>
      <c r="H197" s="4" t="str">
        <f t="shared" si="25"/>
        <v/>
      </c>
      <c r="I197" t="str">
        <f t="shared" ca="1" si="26"/>
        <v/>
      </c>
      <c r="J197" t="str">
        <f t="shared" ca="1" si="27"/>
        <v/>
      </c>
    </row>
    <row r="198" spans="1:10" x14ac:dyDescent="0.25">
      <c r="A198" t="str">
        <f t="shared" si="24"/>
        <v/>
      </c>
      <c r="H198" s="4" t="str">
        <f t="shared" si="25"/>
        <v/>
      </c>
      <c r="I198" t="str">
        <f t="shared" ca="1" si="26"/>
        <v/>
      </c>
      <c r="J198" t="str">
        <f t="shared" ca="1" si="27"/>
        <v/>
      </c>
    </row>
    <row r="199" spans="1:10" x14ac:dyDescent="0.25">
      <c r="A199" t="str">
        <f t="shared" si="24"/>
        <v/>
      </c>
      <c r="H199" s="4" t="str">
        <f t="shared" si="25"/>
        <v/>
      </c>
      <c r="I199" t="str">
        <f t="shared" ca="1" si="26"/>
        <v/>
      </c>
      <c r="J199" t="str">
        <f t="shared" ca="1" si="27"/>
        <v/>
      </c>
    </row>
    <row r="200" spans="1:10" x14ac:dyDescent="0.25">
      <c r="A200" t="str">
        <f t="shared" si="24"/>
        <v/>
      </c>
      <c r="H200" s="4" t="str">
        <f t="shared" si="25"/>
        <v/>
      </c>
      <c r="I200" t="str">
        <f t="shared" ca="1" si="26"/>
        <v/>
      </c>
      <c r="J200" t="str">
        <f t="shared" ca="1" si="27"/>
        <v/>
      </c>
    </row>
  </sheetData>
  <conditionalFormatting sqref="G2:G200">
    <cfRule type="cellIs" dxfId="7" priority="5" operator="equal">
      <formula>"Pausada"</formula>
    </cfRule>
    <cfRule type="cellIs" dxfId="6" priority="6" operator="equal">
      <formula>"Não iniciada"</formula>
    </cfRule>
    <cfRule type="cellIs" dxfId="5" priority="7" operator="equal">
      <formula>"Em andamento"</formula>
    </cfRule>
    <cfRule type="cellIs" dxfId="4" priority="8" operator="equal">
      <formula>"Concluída"</formula>
    </cfRule>
  </conditionalFormatting>
  <conditionalFormatting sqref="J2:J200">
    <cfRule type="cellIs" dxfId="3" priority="1" operator="equal">
      <formula>"CONCLUÍDA"</formula>
    </cfRule>
    <cfRule type="cellIs" dxfId="2" priority="2" operator="equal">
      <formula>"CONCLUÍDA"</formula>
    </cfRule>
    <cfRule type="cellIs" dxfId="1" priority="3" operator="equal">
      <formula>"ATRASADA"</formula>
    </cfRule>
    <cfRule type="cellIs" dxfId="0" priority="4" operator="equal">
      <formula>"OK"</formula>
    </cfRule>
  </conditionalFormatting>
  <dataValidations count="1">
    <dataValidation type="list" allowBlank="1" showInputMessage="1" showErrorMessage="1" sqref="D2:D200" xr:uid="{703893B9-BD76-432A-ADCE-21CB95DF1688}">
      <formula1>"Alta,Média,Baixa"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5233EF3-A7B6-4EFA-87E1-DCEAD029B28D}">
          <x14:formula1>
            <xm:f>Configuração!$A$1:$A$5</xm:f>
          </x14:formula1>
          <xm:sqref>C2:C200</xm:sqref>
        </x14:dataValidation>
        <x14:dataValidation type="list" allowBlank="1" showInputMessage="1" showErrorMessage="1" xr:uid="{DC4F5903-022E-426C-AB3B-F5420B670FDF}">
          <x14:formula1>
            <xm:f>Configuração!$C$1:$C$4</xm:f>
          </x14:formula1>
          <xm:sqref>G2:G200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4880B-1B4C-4155-AF18-B390175B0A32}">
  <dimension ref="A1:F1"/>
  <sheetViews>
    <sheetView showGridLines="0" workbookViewId="0"/>
  </sheetViews>
  <sheetFormatPr defaultRowHeight="15" x14ac:dyDescent="0.25"/>
  <cols>
    <col min="1" max="1" width="11.140625" bestFit="1" customWidth="1"/>
    <col min="2" max="2" width="45.28515625" customWidth="1"/>
    <col min="3" max="3" width="10.28515625" bestFit="1" customWidth="1"/>
    <col min="4" max="4" width="11.28515625" bestFit="1" customWidth="1"/>
    <col min="5" max="5" width="14.85546875" bestFit="1" customWidth="1"/>
    <col min="6" max="6" width="17.28515625" bestFit="1" customWidth="1"/>
  </cols>
  <sheetData>
    <row r="1" spans="1:6" x14ac:dyDescent="0.25">
      <c r="A1" s="2" t="s">
        <v>5</v>
      </c>
      <c r="B1" s="2" t="s">
        <v>30</v>
      </c>
      <c r="C1" s="2" t="s">
        <v>31</v>
      </c>
      <c r="D1" s="2" t="s">
        <v>10</v>
      </c>
      <c r="E1" s="2" t="s">
        <v>7</v>
      </c>
      <c r="F1" s="2" t="s">
        <v>14</v>
      </c>
    </row>
  </sheetData>
  <dataValidations count="2">
    <dataValidation type="list" allowBlank="1" showInputMessage="1" showErrorMessage="1" sqref="D2:D200" xr:uid="{621A9EED-E56F-489B-B184-7A3740B8EE86}">
      <formula1>"Não iniciado,Em andamento,Concluído"</formula1>
    </dataValidation>
    <dataValidation type="list" allowBlank="1" showInputMessage="1" showErrorMessage="1" sqref="E2:E200" xr:uid="{7089A109-972C-454C-9A95-0D02AD49EE82}">
      <formula1>"Alta,Média,Baixa"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89CE750-6735-4654-9DDD-3193B018A2FB}">
          <x14:formula1>
            <xm:f>Metas!$B$2:$B$200</xm:f>
          </x14:formula1>
          <xm:sqref>A2:A200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A9427-5A7E-4108-BC86-496776A91425}">
  <dimension ref="A1:C6"/>
  <sheetViews>
    <sheetView workbookViewId="0">
      <selection activeCell="A7" sqref="A7"/>
    </sheetView>
  </sheetViews>
  <sheetFormatPr defaultRowHeight="15" x14ac:dyDescent="0.25"/>
  <cols>
    <col min="1" max="1" width="10.28515625" bestFit="1" customWidth="1"/>
    <col min="3" max="3" width="14.42578125" bestFit="1" customWidth="1"/>
  </cols>
  <sheetData>
    <row r="1" spans="1:3" x14ac:dyDescent="0.25">
      <c r="A1" t="s">
        <v>15</v>
      </c>
      <c r="C1" t="s">
        <v>22</v>
      </c>
    </row>
    <row r="2" spans="1:3" x14ac:dyDescent="0.25">
      <c r="A2" t="s">
        <v>16</v>
      </c>
      <c r="C2" t="s">
        <v>23</v>
      </c>
    </row>
    <row r="3" spans="1:3" x14ac:dyDescent="0.25">
      <c r="A3" t="s">
        <v>17</v>
      </c>
      <c r="C3" t="s">
        <v>24</v>
      </c>
    </row>
    <row r="4" spans="1:3" x14ac:dyDescent="0.25">
      <c r="A4" t="s">
        <v>18</v>
      </c>
      <c r="C4" t="s">
        <v>25</v>
      </c>
    </row>
    <row r="5" spans="1:3" x14ac:dyDescent="0.25">
      <c r="A5" t="s">
        <v>19</v>
      </c>
    </row>
    <row r="6" spans="1:3" x14ac:dyDescent="0.25">
      <c r="A6" t="s">
        <v>37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Capa</vt:lpstr>
      <vt:lpstr>Dashboard</vt:lpstr>
      <vt:lpstr>Metas</vt:lpstr>
      <vt:lpstr>Plano de Ação</vt:lpstr>
      <vt:lpstr>Configuração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Tayssa Elisa</dc:creator>
  <cp:lastModifiedBy>THYERIS VICTOR BAUCH</cp:lastModifiedBy>
  <dcterms:created xsi:type="dcterms:W3CDTF">2026-06-21T16:21:35Z</dcterms:created>
  <dcterms:modified xsi:type="dcterms:W3CDTF">2026-06-23T13:31:29Z</dcterms:modified>
</cp:coreProperties>
</file>