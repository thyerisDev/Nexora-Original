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uch\Downloads\"/>
    </mc:Choice>
  </mc:AlternateContent>
  <xr:revisionPtr revIDLastSave="0" documentId="8_{FA18BF3B-F938-4271-AFC4-B80C2866FC06}" xr6:coauthVersionLast="47" xr6:coauthVersionMax="47" xr10:uidLastSave="{00000000-0000-0000-0000-000000000000}"/>
  <bookViews>
    <workbookView xWindow="-120" yWindow="-120" windowWidth="29040" windowHeight="15720" xr2:uid="{A0D35218-2A04-4D2B-8B4F-479ABA9DDFB7}"/>
  </bookViews>
  <sheets>
    <sheet name="Capa" sheetId="1" r:id="rId1"/>
    <sheet name="Dashboard" sheetId="2" r:id="rId2"/>
    <sheet name="Patrimônio" sheetId="3" r:id="rId3"/>
    <sheet name="Investimentos" sheetId="4" r:id="rId4"/>
    <sheet name="Configurações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/>
  <c r="AE2" i="2"/>
  <c r="AB3" i="2"/>
  <c r="AE3" i="2"/>
  <c r="AB4" i="2"/>
  <c r="AE4" i="2"/>
  <c r="AB5" i="2"/>
  <c r="AE5" i="2"/>
  <c r="AB6" i="2"/>
  <c r="AE6" i="2"/>
  <c r="AE7" i="2"/>
  <c r="AE8" i="2"/>
  <c r="AE9" i="2"/>
  <c r="O14" i="2"/>
  <c r="R7" i="2"/>
  <c r="H13" i="2"/>
  <c r="C7" i="2"/>
  <c r="H12" i="2"/>
  <c r="H11" i="2"/>
  <c r="M11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M17" i="4"/>
  <c r="H5" i="3"/>
  <c r="L5" i="3"/>
  <c r="D5" i="3"/>
  <c r="F9" i="3"/>
  <c r="T1" i="3"/>
  <c r="S1" i="3"/>
  <c r="M23" i="4"/>
  <c r="O13" i="2"/>
  <c r="M7" i="2"/>
  <c r="O12" i="2"/>
  <c r="H15" i="2"/>
  <c r="O11" i="2"/>
  <c r="H7" i="2"/>
  <c r="H14" i="2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</calcChain>
</file>

<file path=xl/sharedStrings.xml><?xml version="1.0" encoding="utf-8"?>
<sst xmlns="http://schemas.openxmlformats.org/spreadsheetml/2006/main" count="94" uniqueCount="58">
  <si>
    <t>NEXORA</t>
  </si>
  <si>
    <t xml:space="preserve">Consultoria Financeira </t>
  </si>
  <si>
    <t>ORGANIZAÇÃO FINANCEIRA PESSOAL</t>
  </si>
  <si>
    <t xml:space="preserve">Conheça seu patrimônio, controle suas dívidas e acompanhe sua evolução financeira </t>
  </si>
  <si>
    <t>Patrimônio</t>
  </si>
  <si>
    <t>Categoria</t>
  </si>
  <si>
    <t>Descrição</t>
  </si>
  <si>
    <t xml:space="preserve">Valor </t>
  </si>
  <si>
    <t>Data de Atualização</t>
  </si>
  <si>
    <t>Dinheiro</t>
  </si>
  <si>
    <t>Investimento</t>
  </si>
  <si>
    <t>Veículo</t>
  </si>
  <si>
    <t>Imóvel</t>
  </si>
  <si>
    <t>Outros bens</t>
  </si>
  <si>
    <t>% do Patrimônio</t>
  </si>
  <si>
    <t>%  das Dívidas</t>
  </si>
  <si>
    <t xml:space="preserve">Data de Atualização </t>
  </si>
  <si>
    <t>Valor devido</t>
  </si>
  <si>
    <t xml:space="preserve">Categoria </t>
  </si>
  <si>
    <t>Cartão de Crédito</t>
  </si>
  <si>
    <t>Empréstimo</t>
  </si>
  <si>
    <t>Financiamento</t>
  </si>
  <si>
    <t>Parcelamento</t>
  </si>
  <si>
    <t>Outras Dívidas</t>
  </si>
  <si>
    <t>ATIVOS</t>
  </si>
  <si>
    <t>PASSIVOS</t>
  </si>
  <si>
    <t xml:space="preserve">Total de Passivos </t>
  </si>
  <si>
    <t>Total de Ativos</t>
  </si>
  <si>
    <t xml:space="preserve">Patrimônio Líquido </t>
  </si>
  <si>
    <t>INVESTIMENTOS</t>
  </si>
  <si>
    <t>Tipo</t>
  </si>
  <si>
    <t>Instituição</t>
  </si>
  <si>
    <t>Valor Investido</t>
  </si>
  <si>
    <t>valor Atual</t>
  </si>
  <si>
    <t>Ganho/Perda</t>
  </si>
  <si>
    <t>Renda Fixa</t>
  </si>
  <si>
    <t>Tesouro Direto</t>
  </si>
  <si>
    <t>Ações</t>
  </si>
  <si>
    <t>Fundos Imobiliários</t>
  </si>
  <si>
    <t>ETFs</t>
  </si>
  <si>
    <t>Criptomoedas</t>
  </si>
  <si>
    <t>Outros</t>
  </si>
  <si>
    <t>Total Investido</t>
  </si>
  <si>
    <t>Valor Atual Total</t>
  </si>
  <si>
    <t>Resultado Total</t>
  </si>
  <si>
    <t>Investimentos</t>
  </si>
  <si>
    <t xml:space="preserve">Dashboard Financeiro Pessoal </t>
  </si>
  <si>
    <t>Visualize sua situação financeira em um único lugar!</t>
  </si>
  <si>
    <t>Patrimonio Liquido</t>
  </si>
  <si>
    <t>Ganho/Perda Total</t>
  </si>
  <si>
    <t>Resumo Patrimonial</t>
  </si>
  <si>
    <t>Total de Passivos</t>
  </si>
  <si>
    <t>Valor Atual dos Investimentos</t>
  </si>
  <si>
    <t>Resumo dos Investimentos</t>
  </si>
  <si>
    <t>Quantidade de Investimento</t>
  </si>
  <si>
    <t>Valor Atual</t>
  </si>
  <si>
    <t>Poupança</t>
  </si>
  <si>
    <t>Outros 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</si>
</sst>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0" x14ac:knownFonts="1">
    <font>
      <sz val="11"/>
      <color theme="1"/>
      <name val="Aptos Narrow"/>
      <family val="2"/>
      <scheme val="minor"/>
    </font>
    <font>
      <sz val="28"/>
      <color theme="0"/>
      <name val="Georgia"/>
      <family val="1"/>
    </font>
    <font>
      <sz val="12"/>
      <color theme="0"/>
      <name val="Georgia"/>
      <family val="1"/>
    </font>
    <font>
      <sz val="16"/>
      <color theme="1"/>
      <name val="Georgia"/>
      <family val="1"/>
    </font>
    <font>
      <b/>
      <sz val="26"/>
      <color rgb="FF54080D"/>
      <name val="Georgia"/>
      <family val="1"/>
    </font>
    <font>
      <sz val="18"/>
      <color theme="0"/>
      <name val="Georgia"/>
      <family val="1"/>
    </font>
    <font>
      <sz val="11"/>
      <color theme="0"/>
      <name val="Georgia"/>
      <family val="1"/>
    </font>
    <font>
      <sz val="18"/>
      <color theme="1"/>
      <name val="Georgia"/>
      <family val="1"/>
    </font>
    <font>
      <sz val="11"/>
      <color theme="0"/>
      <name val="Aptos Narrow"/>
      <family val="2"/>
      <scheme val="minor"/>
    </font>
    <font>
      <sz val="14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1F01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080D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64" fontId="0" fillId="0" borderId="0" xfId="0" applyNumberFormat="1"/>
    <xf numFmtId="10" fontId="0" fillId="0" borderId="0" xfId="0" applyNumberFormat="1"/>
    <xf numFmtId="0" fontId="0" fillId="4" borderId="0" xfId="0" applyFill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5" borderId="1" xfId="0" applyFill="1" applyBorder="1"/>
    <xf numFmtId="164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/>
    <xf numFmtId="0" fontId="0" fillId="0" borderId="1" xfId="0" applyBorder="1"/>
    <xf numFmtId="0" fontId="0" fillId="0" borderId="0" xfId="0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color rgb="FF000000"/>
      </font>
      <fill>
        <patternFill>
          <bgColor rgb="FFCCFF99"/>
        </patternFill>
      </fill>
    </dxf>
    <dxf>
      <fill>
        <patternFill>
          <bgColor rgb="FFF98A77"/>
        </patternFill>
      </fill>
    </dxf>
    <dxf>
      <numFmt numFmtId="14" formatCode="0.00%"/>
    </dxf>
    <dxf>
      <numFmt numFmtId="164" formatCode="_-&quot;R$&quot;* #,##0.00_-;\-&quot;R$&quot;* #,##0.00_-;_-&quot;R$&quot;* &quot;-&quot;??_-;_-@_-"/>
    </dxf>
    <dxf>
      <fill>
        <patternFill patternType="solid">
          <fgColor indexed="64"/>
          <bgColor rgb="FF54080D"/>
        </patternFill>
      </fill>
    </dxf>
    <dxf>
      <numFmt numFmtId="14" formatCode="0.00%"/>
    </dxf>
    <dxf>
      <numFmt numFmtId="164" formatCode="_-&quot;R$&quot;* #,##0.00_-;\-&quot;R$&quot;* #,##0.00_-;_-&quot;R$&quot;* &quot;-&quot;??_-;_-@_-"/>
    </dxf>
    <dxf>
      <fill>
        <patternFill patternType="solid">
          <fgColor indexed="64"/>
          <bgColor rgb="FF54080D"/>
        </patternFill>
      </fill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fill>
        <patternFill patternType="solid">
          <fgColor indexed="64"/>
          <bgColor rgb="FF54080D"/>
        </patternFill>
      </fill>
    </dxf>
  </dxfs>
  <tableStyles count="0" defaultTableStyle="TableStyleMedium2" defaultPivotStyle="PivotStyleLight16"/>
  <colors>
    <mruColors>
      <color rgb="FF481014"/>
      <color rgb="FF1F0102"/>
      <color rgb="FF54080D"/>
      <color rgb="FFC00000"/>
      <color rgb="FFFFC081"/>
      <color rgb="FF000000"/>
      <color rgb="FFF98A77"/>
      <color rgb="FFCCFF99"/>
      <color rgb="FFDE10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481014"/>
                </a:solidFill>
                <a:latin typeface="+mn-lt"/>
                <a:ea typeface="+mn-ea"/>
                <a:cs typeface="+mn-cs"/>
              </a:defRPr>
            </a:pPr>
            <a:r>
              <a:rPr lang="pt-BR" sz="1600">
                <a:solidFill>
                  <a:srgbClr val="481014"/>
                </a:solidFill>
              </a:rPr>
              <a:t>Composição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48101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AC-4089-A334-55F674FB5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AC-4089-A334-55F674FB5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AC-4089-A334-55F674FB5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AC-4089-A334-55F674FB5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AC-4089-A334-55F674FB56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Dashboard!$AA$2:$AA$6</c:f>
              <c:strCache>
                <c:ptCount val="5"/>
                <c:pt idx="0">
                  <c:v>Dinheiro</c:v>
                </c:pt>
                <c:pt idx="1">
                  <c:v>Investimento</c:v>
                </c:pt>
                <c:pt idx="2">
                  <c:v>Veículo</c:v>
                </c:pt>
                <c:pt idx="3">
                  <c:v>Imóvel</c:v>
                </c:pt>
                <c:pt idx="4">
                  <c:v>Outros Bens</c:v>
                </c:pt>
              </c:strCache>
            </c:strRef>
          </c:cat>
          <c:val>
            <c:numRef>
              <c:f>Dashboard!$AB$2:$AB$6</c:f>
              <c:numCache>
                <c:formatCode>General</c:formatCode>
                <c:ptCount val="5"/>
                <c:pt idx="0">
                  <c:v>0</c:v>
                </c:pt>
                <c:pt idx="1">
                  <c:v>1500</c:v>
                </c:pt>
                <c:pt idx="2">
                  <c:v>750</c:v>
                </c:pt>
                <c:pt idx="3">
                  <c:v>2000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B-425D-8244-264A446FAB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481014"/>
                </a:solidFill>
                <a:latin typeface="+mn-lt"/>
                <a:ea typeface="+mn-ea"/>
                <a:cs typeface="+mn-cs"/>
              </a:defRPr>
            </a:pPr>
            <a:r>
              <a:rPr lang="pt-BR" sz="1600" b="0">
                <a:solidFill>
                  <a:srgbClr val="481014"/>
                </a:solidFill>
              </a:rPr>
              <a:t>Distribuição</a:t>
            </a:r>
            <a:r>
              <a:rPr lang="pt-BR" sz="1600" b="0" baseline="0">
                <a:solidFill>
                  <a:srgbClr val="481014"/>
                </a:solidFill>
              </a:rPr>
              <a:t> dos Investimentos</a:t>
            </a:r>
            <a:endParaRPr lang="pt-BR" sz="1600" b="0">
              <a:solidFill>
                <a:srgbClr val="48101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48101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15404534164773"/>
          <c:y val="0.29460636515912897"/>
          <c:w val="0.28718866517524233"/>
          <c:h val="0.6450921273031825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DF-4E0D-8061-77518F435FAE}"/>
              </c:ext>
            </c:extLst>
          </c:dPt>
          <c:dPt>
            <c:idx val="1"/>
            <c:bubble3D val="0"/>
            <c:spPr>
              <a:solidFill>
                <a:schemeClr val="accent2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DF-4E0D-8061-77518F435FAE}"/>
              </c:ext>
            </c:extLst>
          </c:dPt>
          <c:dPt>
            <c:idx val="2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DF-4E0D-8061-77518F435FAE}"/>
              </c:ext>
            </c:extLst>
          </c:dPt>
          <c:dPt>
            <c:idx val="3"/>
            <c:bubble3D val="0"/>
            <c:spPr>
              <a:solidFill>
                <a:schemeClr val="accent2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DF-4E0D-8061-77518F435FAE}"/>
              </c:ext>
            </c:extLst>
          </c:dPt>
          <c:dPt>
            <c:idx val="4"/>
            <c:bubble3D val="0"/>
            <c:spPr>
              <a:solidFill>
                <a:schemeClr val="accent2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0DF-4E0D-8061-77518F435FAE}"/>
              </c:ext>
            </c:extLst>
          </c:dPt>
          <c:dPt>
            <c:idx val="5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0DF-4E0D-8061-77518F435FAE}"/>
              </c:ext>
            </c:extLst>
          </c:dPt>
          <c:dPt>
            <c:idx val="6"/>
            <c:bubble3D val="0"/>
            <c:spPr>
              <a:solidFill>
                <a:schemeClr val="accent2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0DF-4E0D-8061-77518F435FAE}"/>
              </c:ext>
            </c:extLst>
          </c:dPt>
          <c:dPt>
            <c:idx val="7"/>
            <c:bubble3D val="0"/>
            <c:spPr>
              <a:solidFill>
                <a:schemeClr val="accent2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0DF-4E0D-8061-77518F435FAE}"/>
              </c:ext>
            </c:extLst>
          </c:dPt>
          <c:cat>
            <c:strRef>
              <c:f>Dashboard!$AD$2:$AD$9</c:f>
              <c:strCache>
                <c:ptCount val="8"/>
                <c:pt idx="0">
                  <c:v>Renda Fixa</c:v>
                </c:pt>
                <c:pt idx="1">
                  <c:v>Tesouro Direto</c:v>
                </c:pt>
                <c:pt idx="2">
                  <c:v>Ações</c:v>
                </c:pt>
                <c:pt idx="3">
                  <c:v>Fundos Imobiliários</c:v>
                </c:pt>
                <c:pt idx="4">
                  <c:v>ETFs</c:v>
                </c:pt>
                <c:pt idx="5">
                  <c:v>Criptomoedas</c:v>
                </c:pt>
                <c:pt idx="6">
                  <c:v>Poupança</c:v>
                </c:pt>
                <c:pt idx="7">
                  <c:v>Outros</c:v>
                </c:pt>
              </c:strCache>
            </c:strRef>
          </c:cat>
          <c:val>
            <c:numRef>
              <c:f>Dashboard!$AE$2:$AE$9</c:f>
              <c:numCache>
                <c:formatCode>General</c:formatCode>
                <c:ptCount val="8"/>
                <c:pt idx="0">
                  <c:v>0</c:v>
                </c:pt>
                <c:pt idx="1">
                  <c:v>70</c:v>
                </c:pt>
                <c:pt idx="2">
                  <c:v>100</c:v>
                </c:pt>
                <c:pt idx="3">
                  <c:v>180</c:v>
                </c:pt>
                <c:pt idx="4">
                  <c:v>450</c:v>
                </c:pt>
                <c:pt idx="5">
                  <c:v>4000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2-41B6-A02D-6C7602B82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Investimentos!A1"/><Relationship Id="rId1" Type="http://schemas.openxmlformats.org/officeDocument/2006/relationships/hyperlink" Target="#Patrim&#244;ni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14</xdr:row>
      <xdr:rowOff>9525</xdr:rowOff>
    </xdr:from>
    <xdr:to>
      <xdr:col>10</xdr:col>
      <xdr:colOff>581025</xdr:colOff>
      <xdr:row>16</xdr:row>
      <xdr:rowOff>9525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492AA5-72BA-88A8-51B6-089BB2927A04}"/>
            </a:ext>
          </a:extLst>
        </xdr:cNvPr>
        <xdr:cNvSpPr/>
      </xdr:nvSpPr>
      <xdr:spPr>
        <a:xfrm>
          <a:off x="5495925" y="2981325"/>
          <a:ext cx="1181100" cy="38100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Patrimônio</a:t>
          </a:r>
        </a:p>
      </xdr:txBody>
    </xdr:sp>
    <xdr:clientData/>
  </xdr:twoCellAnchor>
  <xdr:twoCellAnchor>
    <xdr:from>
      <xdr:col>13</xdr:col>
      <xdr:colOff>9525</xdr:colOff>
      <xdr:row>14</xdr:row>
      <xdr:rowOff>0</xdr:rowOff>
    </xdr:from>
    <xdr:to>
      <xdr:col>15</xdr:col>
      <xdr:colOff>38100</xdr:colOff>
      <xdr:row>15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314C0D-E146-5E24-BAAE-8C82548680FC}"/>
            </a:ext>
          </a:extLst>
        </xdr:cNvPr>
        <xdr:cNvSpPr/>
      </xdr:nvSpPr>
      <xdr:spPr>
        <a:xfrm>
          <a:off x="7934325" y="2971800"/>
          <a:ext cx="1247775" cy="37147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Investimentos</a:t>
          </a:r>
        </a:p>
      </xdr:txBody>
    </xdr:sp>
    <xdr:clientData/>
  </xdr:twoCellAnchor>
  <xdr:twoCellAnchor>
    <xdr:from>
      <xdr:col>4</xdr:col>
      <xdr:colOff>600075</xdr:colOff>
      <xdr:row>14</xdr:row>
      <xdr:rowOff>19050</xdr:rowOff>
    </xdr:from>
    <xdr:to>
      <xdr:col>7</xdr:col>
      <xdr:colOff>9525</xdr:colOff>
      <xdr:row>15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27263-39A3-BC13-9B10-7F54AEC9525B}"/>
            </a:ext>
          </a:extLst>
        </xdr:cNvPr>
        <xdr:cNvSpPr/>
      </xdr:nvSpPr>
      <xdr:spPr>
        <a:xfrm>
          <a:off x="3038475" y="2990850"/>
          <a:ext cx="1238250" cy="34290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9524</xdr:rowOff>
    </xdr:from>
    <xdr:to>
      <xdr:col>8</xdr:col>
      <xdr:colOff>609599</xdr:colOff>
      <xdr:row>25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48FA26-D6FC-AFBF-8C85-1059E920B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16</xdr:row>
      <xdr:rowOff>9525</xdr:rowOff>
    </xdr:from>
    <xdr:to>
      <xdr:col>18</xdr:col>
      <xdr:colOff>0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CE4CBB-EEE2-98DC-3C11-8790243B3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395F8-E744-47FD-9577-E0CC73DAB555}" name="Tabela3" displayName="Tabela3" ref="B8:F38" totalsRowShown="0" headerRowDxfId="7">
  <autoFilter ref="B8:F38" xr:uid="{B66395F8-E744-47FD-9577-E0CC73DAB555}"/>
  <tableColumns count="5">
    <tableColumn id="1" xr3:uid="{360AA13F-436D-4D21-B87C-56EC3E2E4B64}" name="Categoria"/>
    <tableColumn id="2" xr3:uid="{8AA1D408-FF34-4FB7-9569-C138DE2757B1}" name="Descrição"/>
    <tableColumn id="3" xr3:uid="{0C43D157-0332-4D61-91C1-1439DE09A7CD}" name="Valor " dataDxfId="6"/>
    <tableColumn id="4" xr3:uid="{D4BF5780-D1EE-43C4-9BB8-DC1187DE3298}" name="Data de Atualização"/>
    <tableColumn id="5" xr3:uid="{50F7E63C-6A94-496C-9F9D-88195115F60D}" name="% do Patrimônio" dataDxfId="5">
      <calculatedColumnFormula>IF($S$1=0,0,D9/$S$1)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00B3C6-13C1-4E11-B47D-4AB97DBE0247}" name="Tabela6" displayName="Tabela6" ref="J8:N38" totalsRowShown="0" headerRowDxfId="4">
  <autoFilter ref="J8:N38" xr:uid="{6600B3C6-13C1-4E11-B47D-4AB97DBE0247}"/>
  <tableColumns count="5">
    <tableColumn id="1" xr3:uid="{A8FFB742-A973-4D4A-91D8-434E23AB7457}" name="Categoria "/>
    <tableColumn id="2" xr3:uid="{A1384FD1-8AFE-44A2-BE02-2D627B321CE9}" name="Descrição"/>
    <tableColumn id="3" xr3:uid="{B031C042-5097-4AD7-A80F-7A43F01B7E0B}" name="Valor devido" dataDxfId="3"/>
    <tableColumn id="4" xr3:uid="{16BE6CC7-A960-4819-AD96-909964525824}" name="Data de Atualização "/>
    <tableColumn id="5" xr3:uid="{9E921A44-F997-44BC-AF81-EAE34BC91226}" name="%  das Dívidas" dataDxfId="2">
      <calculatedColumnFormula>IF($T$1=0,0,L9/$T$1)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6E078-75B3-4449-A18E-63206E526EA7}" name="Tabela1" displayName="Tabela1" ref="B8:G38" totalsRowShown="0" headerRowDxfId="11">
  <autoFilter ref="B8:G38" xr:uid="{F2E6E078-75B3-4449-A18E-63206E526EA7}"/>
  <tableColumns count="6">
    <tableColumn id="1" xr3:uid="{F63EFC8F-5DEA-42A0-8626-B55C220433EC}" name="Tipo"/>
    <tableColumn id="2" xr3:uid="{C93DC7B1-7E56-47AE-AFFD-7F037124819A}" name="Instituição"/>
    <tableColumn id="3" xr3:uid="{53164400-E84F-4195-BEBB-BFA6BBC132C6}" name="Investimento"/>
    <tableColumn id="4" xr3:uid="{5777B70D-9D0E-4522-A433-95003DED3D7C}" name="Valor Investido" dataDxfId="10"/>
    <tableColumn id="5" xr3:uid="{397136EC-130B-40D2-B430-C270AE27631C}" name="valor Atual" dataDxfId="9"/>
    <tableColumn id="6" xr3:uid="{EC6844C4-7872-459C-B3D7-71BBD47BEE97}" name="Ganho/Perda" dataDxfId="8">
      <calculatedColumnFormula>F9-E9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melho Laranja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503C-C6A3-4FB9-BE55-4323C194424E}">
  <dimension ref="A1:T12"/>
  <sheetViews>
    <sheetView showGridLines="0" tabSelected="1" workbookViewId="0">
      <selection activeCell="O20" sqref="O20"/>
    </sheetView>
  </sheetViews>
  <sheetFormatPr defaultRowHeight="15" x14ac:dyDescent="0.25"/>
  <sheetData>
    <row r="1" spans="1:20" x14ac:dyDescent="0.25">
      <c r="A1" s="1"/>
      <c r="B1" s="1"/>
      <c r="C1" s="1"/>
      <c r="D1" s="1"/>
      <c r="E1" s="1"/>
      <c r="F1" s="1"/>
      <c r="G1" s="1"/>
      <c r="H1" s="17" t="s">
        <v>0</v>
      </c>
      <c r="I1" s="17"/>
      <c r="J1" s="17"/>
      <c r="K1" s="17"/>
      <c r="L1" s="17"/>
      <c r="M1" s="17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7"/>
      <c r="I2" s="17"/>
      <c r="J2" s="17"/>
      <c r="K2" s="17"/>
      <c r="L2" s="17"/>
      <c r="M2" s="17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7"/>
      <c r="I3" s="17"/>
      <c r="J3" s="17"/>
      <c r="K3" s="17"/>
      <c r="L3" s="17"/>
      <c r="M3" s="17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</row>
    <row r="5" spans="1:20" ht="15.75" x14ac:dyDescent="0.25">
      <c r="H5" s="18" t="s">
        <v>1</v>
      </c>
      <c r="I5" s="18"/>
      <c r="J5" s="18"/>
      <c r="K5" s="18"/>
      <c r="L5" s="18"/>
      <c r="M5" s="18"/>
    </row>
    <row r="9" spans="1:20" ht="33" x14ac:dyDescent="0.25">
      <c r="E9" s="19" t="s">
        <v>2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2" spans="1:20" ht="20.25" x14ac:dyDescent="0.3">
      <c r="D12" s="16" t="s">
        <v>3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</sheetData>
  <mergeCells count="4">
    <mergeCell ref="D12:Q12"/>
    <mergeCell ref="H1:M4"/>
    <mergeCell ref="H5:M5"/>
    <mergeCell ref="E9:P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0E1C-568D-4496-B8FA-E15AEA0E0171}">
  <dimension ref="A1:AE15"/>
  <sheetViews>
    <sheetView showGridLines="0" workbookViewId="0">
      <selection activeCell="C9" sqref="C9"/>
    </sheetView>
  </sheetViews>
  <sheetFormatPr defaultRowHeight="15" x14ac:dyDescent="0.25"/>
  <cols>
    <col min="1" max="2" width="9.140625" customWidth="1"/>
    <col min="27" max="27" width="13.42578125" hidden="1" customWidth="1"/>
    <col min="28" max="28" width="0" hidden="1" customWidth="1"/>
    <col min="30" max="30" width="19.140625" hidden="1" customWidth="1"/>
    <col min="31" max="31" width="0" hidden="1" customWidth="1"/>
  </cols>
  <sheetData>
    <row r="1" spans="1:31" x14ac:dyDescent="0.25">
      <c r="A1" s="14" t="s">
        <v>46</v>
      </c>
      <c r="B1" s="15"/>
      <c r="C1" s="15"/>
      <c r="D1" s="15"/>
      <c r="E1" s="15"/>
      <c r="F1" s="15"/>
      <c r="G1" s="15"/>
      <c r="H1" s="15"/>
      <c r="I1" s="15"/>
    </row>
    <row r="2" spans="1:31" ht="18" x14ac:dyDescent="0.25">
      <c r="A2" s="15"/>
      <c r="B2" s="15"/>
      <c r="C2" s="15"/>
      <c r="D2" s="15"/>
      <c r="E2" s="15"/>
      <c r="F2" s="15"/>
      <c r="G2" s="15"/>
      <c r="H2" s="15"/>
      <c r="I2" s="15"/>
      <c r="K2" s="24" t="s">
        <v>47</v>
      </c>
      <c r="L2" s="24"/>
      <c r="M2" s="24"/>
      <c r="N2" s="24"/>
      <c r="O2" s="24"/>
      <c r="P2" s="24"/>
      <c r="Q2" s="24"/>
      <c r="R2" s="24"/>
      <c r="S2" s="24"/>
      <c r="T2" s="24"/>
      <c r="AA2" t="s">
        <v>9</v>
      </c>
      <c r="AB2">
        <f>SUMIF(Patrimônio!B9:B38,"Dinheiro",Patrimônio!D9:D38)</f>
        <v>0</v>
      </c>
      <c r="AD2" t="s">
        <v>35</v>
      </c>
      <c r="AE2">
        <f>SUMIF(Investimentos!B9:B38,"Renda Fixa",Investimentos!F9:F38)</f>
        <v>0</v>
      </c>
    </row>
    <row r="3" spans="1:31" x14ac:dyDescent="0.25">
      <c r="AA3" t="s">
        <v>10</v>
      </c>
      <c r="AB3">
        <f>SUMIF(Patrimônio!B9:B38,"Investimento",Patrimônio!D9:D38)</f>
        <v>1500</v>
      </c>
      <c r="AD3" t="s">
        <v>36</v>
      </c>
      <c r="AE3">
        <f>SUMIF(Investimentos!B9:B38,"Tesouro Direto",Investimentos!F9:F38)</f>
        <v>70</v>
      </c>
    </row>
    <row r="4" spans="1:31" x14ac:dyDescent="0.25">
      <c r="AA4" t="s">
        <v>11</v>
      </c>
      <c r="AB4">
        <f>SUMIF(Patrimônio!B9:B38,"Veículo",Patrimônio!D9:D38)</f>
        <v>750</v>
      </c>
      <c r="AD4" t="s">
        <v>37</v>
      </c>
      <c r="AE4">
        <f>SUMIF(Investimentos!B9:B38,"Ações",Investimentos!F9:F38)</f>
        <v>100</v>
      </c>
    </row>
    <row r="5" spans="1:31" x14ac:dyDescent="0.25">
      <c r="B5" s="13" t="s">
        <v>48</v>
      </c>
      <c r="C5" s="13"/>
      <c r="D5" s="13"/>
      <c r="E5" s="13"/>
      <c r="G5" s="13" t="s">
        <v>42</v>
      </c>
      <c r="H5" s="13"/>
      <c r="I5" s="13"/>
      <c r="J5" s="13"/>
      <c r="L5" s="13" t="s">
        <v>49</v>
      </c>
      <c r="M5" s="13"/>
      <c r="N5" s="13"/>
      <c r="O5" s="13"/>
      <c r="Q5" s="13" t="s">
        <v>54</v>
      </c>
      <c r="R5" s="13"/>
      <c r="S5" s="13"/>
      <c r="T5" s="13"/>
      <c r="AA5" t="s">
        <v>12</v>
      </c>
      <c r="AB5">
        <f>SUMIF(Patrimônio!B9:B38,"Imóvel",Patrimônio!D9:D38)</f>
        <v>2000</v>
      </c>
      <c r="AD5" t="s">
        <v>38</v>
      </c>
      <c r="AE5">
        <f>SUMIF(Investimentos!B9:B38,"Fundos Imobiliários",Investimentos!F9:F38)</f>
        <v>180</v>
      </c>
    </row>
    <row r="6" spans="1:31" x14ac:dyDescent="0.25">
      <c r="B6" s="7"/>
      <c r="C6" s="7"/>
      <c r="D6" s="7"/>
      <c r="E6" s="7"/>
      <c r="G6" s="7"/>
      <c r="H6" s="7"/>
      <c r="I6" s="7"/>
      <c r="J6" s="7"/>
      <c r="L6" s="7"/>
      <c r="M6" s="7"/>
      <c r="N6" s="7"/>
      <c r="O6" s="7"/>
      <c r="Q6" s="7"/>
      <c r="R6" s="7"/>
      <c r="S6" s="7"/>
      <c r="T6" s="7"/>
      <c r="AA6" t="s">
        <v>57</v>
      </c>
      <c r="AB6">
        <f>SUMIF(Patrimônio!B9:B38,"Outros Bens",Patrimônio!D9:D38)</f>
        <v>250</v>
      </c>
      <c r="AD6" t="s">
        <v>39</v>
      </c>
      <c r="AE6">
        <f>SUMIF(Investimentos!B9:B38,"ETFs",Investimentos!F9:F38)</f>
        <v>450</v>
      </c>
    </row>
    <row r="7" spans="1:31" x14ac:dyDescent="0.25">
      <c r="B7" s="7"/>
      <c r="C7" s="12">
        <f>H13</f>
        <v>2500</v>
      </c>
      <c r="D7" s="13"/>
      <c r="E7" s="7"/>
      <c r="G7" s="7"/>
      <c r="H7" s="12">
        <f>O11</f>
        <v>2160</v>
      </c>
      <c r="I7" s="13"/>
      <c r="J7" s="7"/>
      <c r="L7" s="7"/>
      <c r="M7" s="12">
        <f>O13</f>
        <v>2640</v>
      </c>
      <c r="N7" s="13"/>
      <c r="O7" s="7"/>
      <c r="Q7" s="7"/>
      <c r="R7" s="13">
        <f>O14</f>
        <v>5</v>
      </c>
      <c r="S7" s="13"/>
      <c r="T7" s="7"/>
      <c r="AD7" t="s">
        <v>40</v>
      </c>
      <c r="AE7">
        <f>SUMIF(Investimentos!B9:B38,"Criptomoedas",Investimentos!F9:F38)</f>
        <v>4000</v>
      </c>
    </row>
    <row r="8" spans="1:31" x14ac:dyDescent="0.25">
      <c r="AD8" t="s">
        <v>56</v>
      </c>
      <c r="AE8">
        <f>SUMIF(Investimentos!B9:B38,"Poupança",Investimentos!F9:F38)</f>
        <v>0</v>
      </c>
    </row>
    <row r="9" spans="1:31" x14ac:dyDescent="0.25">
      <c r="AD9" t="s">
        <v>41</v>
      </c>
      <c r="AE9">
        <f>SUMIF(Investimentos!B9:B38,"Outros",Investimentos!F9:F38)</f>
        <v>0</v>
      </c>
    </row>
    <row r="10" spans="1:31" x14ac:dyDescent="0.25">
      <c r="E10" s="23" t="s">
        <v>50</v>
      </c>
      <c r="F10" s="23"/>
      <c r="G10" s="23"/>
      <c r="H10" s="23"/>
      <c r="I10" s="23"/>
      <c r="L10" s="23" t="s">
        <v>53</v>
      </c>
      <c r="M10" s="23"/>
      <c r="N10" s="23"/>
      <c r="O10" s="23"/>
      <c r="P10" s="23"/>
    </row>
    <row r="11" spans="1:31" x14ac:dyDescent="0.25">
      <c r="E11" s="21" t="s">
        <v>27</v>
      </c>
      <c r="F11" s="21"/>
      <c r="G11" s="21"/>
      <c r="H11" s="22">
        <f>Patrimônio!D5</f>
        <v>4500</v>
      </c>
      <c r="I11" s="20"/>
      <c r="L11" s="21" t="s">
        <v>42</v>
      </c>
      <c r="M11" s="21"/>
      <c r="N11" s="21"/>
      <c r="O11" s="22">
        <f>Investimentos!M11</f>
        <v>2160</v>
      </c>
      <c r="P11" s="20"/>
    </row>
    <row r="12" spans="1:31" x14ac:dyDescent="0.25">
      <c r="E12" s="21" t="s">
        <v>51</v>
      </c>
      <c r="F12" s="21"/>
      <c r="G12" s="21"/>
      <c r="H12" s="22">
        <f>Patrimônio!L5</f>
        <v>2000</v>
      </c>
      <c r="I12" s="20"/>
      <c r="L12" s="21" t="s">
        <v>55</v>
      </c>
      <c r="M12" s="21"/>
      <c r="N12" s="21"/>
      <c r="O12" s="22">
        <f>Investimentos!M17</f>
        <v>4800</v>
      </c>
      <c r="P12" s="20"/>
    </row>
    <row r="13" spans="1:31" x14ac:dyDescent="0.25">
      <c r="E13" s="21" t="s">
        <v>48</v>
      </c>
      <c r="F13" s="21"/>
      <c r="G13" s="21"/>
      <c r="H13" s="22">
        <f>Patrimônio!H5</f>
        <v>2500</v>
      </c>
      <c r="I13" s="20"/>
      <c r="L13" s="21" t="s">
        <v>49</v>
      </c>
      <c r="M13" s="21"/>
      <c r="N13" s="21"/>
      <c r="O13" s="22">
        <f>Investimentos!M23</f>
        <v>2640</v>
      </c>
      <c r="P13" s="20"/>
    </row>
    <row r="14" spans="1:31" x14ac:dyDescent="0.25">
      <c r="E14" s="21" t="s">
        <v>42</v>
      </c>
      <c r="F14" s="21"/>
      <c r="G14" s="21"/>
      <c r="H14" s="22">
        <f>Investimentos!M11</f>
        <v>2160</v>
      </c>
      <c r="I14" s="20"/>
      <c r="L14" s="21" t="s">
        <v>54</v>
      </c>
      <c r="M14" s="21"/>
      <c r="N14" s="21"/>
      <c r="O14" s="20">
        <f>COUNTA(Investimentos!E9:E38)</f>
        <v>5</v>
      </c>
      <c r="P14" s="20"/>
    </row>
    <row r="15" spans="1:31" x14ac:dyDescent="0.25">
      <c r="E15" s="21" t="s">
        <v>52</v>
      </c>
      <c r="F15" s="21"/>
      <c r="G15" s="21"/>
      <c r="H15" s="22">
        <f>Investimentos!M17</f>
        <v>4800</v>
      </c>
      <c r="I15" s="20"/>
    </row>
  </sheetData>
  <mergeCells count="30">
    <mergeCell ref="C7:D7"/>
    <mergeCell ref="M7:N7"/>
    <mergeCell ref="O13:P13"/>
    <mergeCell ref="A1:I2"/>
    <mergeCell ref="K2:T2"/>
    <mergeCell ref="B5:E5"/>
    <mergeCell ref="G5:J5"/>
    <mergeCell ref="L5:O5"/>
    <mergeCell ref="E15:G15"/>
    <mergeCell ref="H15:I15"/>
    <mergeCell ref="L10:P10"/>
    <mergeCell ref="L11:N11"/>
    <mergeCell ref="L12:N12"/>
    <mergeCell ref="L13:N13"/>
    <mergeCell ref="L14:N14"/>
    <mergeCell ref="O11:P11"/>
    <mergeCell ref="E11:G11"/>
    <mergeCell ref="H11:I11"/>
    <mergeCell ref="E12:G12"/>
    <mergeCell ref="H12:I12"/>
    <mergeCell ref="E13:G13"/>
    <mergeCell ref="O12:P12"/>
    <mergeCell ref="H13:I13"/>
    <mergeCell ref="E10:I10"/>
    <mergeCell ref="O14:P14"/>
    <mergeCell ref="Q5:T5"/>
    <mergeCell ref="R7:S7"/>
    <mergeCell ref="E14:G14"/>
    <mergeCell ref="H14:I14"/>
    <mergeCell ref="H7:I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3648-1596-46EC-83DD-6BD459CB4C7B}">
  <dimension ref="A1:T38"/>
  <sheetViews>
    <sheetView topLeftCell="G1" workbookViewId="0">
      <selection sqref="A1:I2"/>
    </sheetView>
  </sheetViews>
  <sheetFormatPr defaultRowHeight="15" x14ac:dyDescent="0.25"/>
  <cols>
    <col min="1" max="1" width="4.7109375" hidden="1" customWidth="1"/>
    <col min="2" max="2" width="11.85546875" customWidth="1"/>
    <col min="3" max="3" width="12.140625" customWidth="1"/>
    <col min="4" max="4" width="14" customWidth="1"/>
    <col min="5" max="5" width="20.5703125" customWidth="1"/>
    <col min="6" max="6" width="18" bestFit="1" customWidth="1"/>
    <col min="8" max="8" width="11.7109375" bestFit="1" customWidth="1"/>
    <col min="10" max="10" width="16.28515625" bestFit="1" customWidth="1"/>
    <col min="11" max="11" width="12.140625" customWidth="1"/>
    <col min="12" max="12" width="16.85546875" bestFit="1" customWidth="1"/>
    <col min="13" max="13" width="20.28515625" customWidth="1"/>
    <col min="14" max="14" width="15.7109375" customWidth="1"/>
    <col min="15" max="15" width="8.5703125" customWidth="1"/>
    <col min="19" max="20" width="11.7109375" bestFit="1" customWidth="1"/>
  </cols>
  <sheetData>
    <row r="1" spans="1:20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S1" s="2">
        <f>SUM(D9:D38)</f>
        <v>4500</v>
      </c>
      <c r="T1" s="2">
        <f>SUM(L9:L38)</f>
        <v>2000</v>
      </c>
    </row>
    <row r="2" spans="1:20" x14ac:dyDescent="0.25">
      <c r="A2" s="14"/>
      <c r="B2" s="14"/>
      <c r="C2" s="14"/>
      <c r="D2" s="14"/>
      <c r="E2" s="14"/>
      <c r="F2" s="14"/>
      <c r="G2" s="14"/>
      <c r="H2" s="14"/>
      <c r="I2" s="14"/>
    </row>
    <row r="4" spans="1:20" x14ac:dyDescent="0.25">
      <c r="D4" s="7" t="s">
        <v>27</v>
      </c>
      <c r="G4" s="13" t="s">
        <v>28</v>
      </c>
      <c r="H4" s="13"/>
      <c r="I4" s="13"/>
      <c r="L4" s="7" t="s">
        <v>26</v>
      </c>
    </row>
    <row r="5" spans="1:20" x14ac:dyDescent="0.25">
      <c r="C5" s="5"/>
      <c r="D5" s="8">
        <f>SUM(D9:D38)</f>
        <v>4500</v>
      </c>
      <c r="E5" s="6"/>
      <c r="G5" s="7"/>
      <c r="H5" s="9">
        <f>D5-L5</f>
        <v>2500</v>
      </c>
      <c r="I5" s="7"/>
      <c r="L5" s="9">
        <f>SUM(L9:L38)</f>
        <v>2000</v>
      </c>
    </row>
    <row r="7" spans="1:20" x14ac:dyDescent="0.25">
      <c r="B7" s="25" t="s">
        <v>24</v>
      </c>
      <c r="C7" s="25"/>
      <c r="D7" s="25"/>
      <c r="E7" s="25"/>
      <c r="F7" s="25"/>
      <c r="J7" s="25" t="s">
        <v>25</v>
      </c>
      <c r="K7" s="25"/>
      <c r="L7" s="25"/>
      <c r="M7" s="25"/>
      <c r="N7" s="25"/>
    </row>
    <row r="8" spans="1:20" x14ac:dyDescent="0.25">
      <c r="B8" s="4" t="s">
        <v>5</v>
      </c>
      <c r="C8" s="4" t="s">
        <v>6</v>
      </c>
      <c r="D8" s="4" t="s">
        <v>7</v>
      </c>
      <c r="E8" s="4" t="s">
        <v>8</v>
      </c>
      <c r="F8" s="4" t="s">
        <v>14</v>
      </c>
      <c r="J8" s="4" t="s">
        <v>18</v>
      </c>
      <c r="K8" s="4" t="s">
        <v>6</v>
      </c>
      <c r="L8" s="4" t="s">
        <v>17</v>
      </c>
      <c r="M8" s="4" t="s">
        <v>16</v>
      </c>
      <c r="N8" s="4" t="s">
        <v>15</v>
      </c>
    </row>
    <row r="9" spans="1:20" x14ac:dyDescent="0.25">
      <c r="D9" s="2"/>
      <c r="F9" s="3">
        <f>IF($S$1=0,0,D9/$S$1)</f>
        <v>0</v>
      </c>
      <c r="J9" t="s">
        <v>20</v>
      </c>
      <c r="L9" s="2">
        <v>1000</v>
      </c>
      <c r="N9" s="3">
        <f t="shared" ref="N9:N38" si="0">IF($T$1=0,0,L9/$T$1)</f>
        <v>0.5</v>
      </c>
    </row>
    <row r="10" spans="1:20" x14ac:dyDescent="0.25">
      <c r="D10" s="2"/>
      <c r="F10" s="3">
        <f t="shared" ref="F10:F38" si="1">IF($S$1=0,0,D10/$S$1)</f>
        <v>0</v>
      </c>
      <c r="J10" t="s">
        <v>22</v>
      </c>
      <c r="L10" s="2">
        <v>300</v>
      </c>
      <c r="N10" s="3">
        <f t="shared" si="0"/>
        <v>0.15</v>
      </c>
    </row>
    <row r="11" spans="1:20" x14ac:dyDescent="0.25">
      <c r="B11" t="s">
        <v>13</v>
      </c>
      <c r="D11" s="2">
        <v>250</v>
      </c>
      <c r="F11" s="3">
        <f t="shared" si="1"/>
        <v>5.5555555555555552E-2</v>
      </c>
      <c r="L11" s="2"/>
      <c r="N11" s="3">
        <f t="shared" si="0"/>
        <v>0</v>
      </c>
    </row>
    <row r="12" spans="1:20" x14ac:dyDescent="0.25">
      <c r="B12" t="s">
        <v>11</v>
      </c>
      <c r="D12" s="2">
        <v>750</v>
      </c>
      <c r="F12" s="3">
        <f t="shared" si="1"/>
        <v>0.16666666666666666</v>
      </c>
      <c r="J12" t="s">
        <v>23</v>
      </c>
      <c r="L12" s="2">
        <v>500</v>
      </c>
      <c r="N12" s="3">
        <f t="shared" si="0"/>
        <v>0.25</v>
      </c>
    </row>
    <row r="13" spans="1:20" x14ac:dyDescent="0.25">
      <c r="D13" s="2"/>
      <c r="F13" s="3">
        <f t="shared" si="1"/>
        <v>0</v>
      </c>
      <c r="J13" t="s">
        <v>19</v>
      </c>
      <c r="L13" s="2">
        <v>200</v>
      </c>
      <c r="N13" s="3">
        <f t="shared" si="0"/>
        <v>0.1</v>
      </c>
    </row>
    <row r="14" spans="1:20" x14ac:dyDescent="0.25">
      <c r="D14" s="2"/>
      <c r="F14" s="3">
        <f t="shared" si="1"/>
        <v>0</v>
      </c>
      <c r="L14" s="2"/>
      <c r="N14" s="3">
        <f t="shared" si="0"/>
        <v>0</v>
      </c>
    </row>
    <row r="15" spans="1:20" x14ac:dyDescent="0.25">
      <c r="B15" t="s">
        <v>10</v>
      </c>
      <c r="D15" s="2">
        <v>1500</v>
      </c>
      <c r="F15" s="3">
        <f t="shared" si="1"/>
        <v>0.33333333333333331</v>
      </c>
      <c r="L15" s="2"/>
      <c r="N15" s="3">
        <f t="shared" si="0"/>
        <v>0</v>
      </c>
    </row>
    <row r="16" spans="1:20" x14ac:dyDescent="0.25">
      <c r="B16" t="s">
        <v>12</v>
      </c>
      <c r="D16" s="2">
        <v>2000</v>
      </c>
      <c r="F16" s="3">
        <f t="shared" si="1"/>
        <v>0.44444444444444442</v>
      </c>
      <c r="L16" s="2"/>
      <c r="N16" s="3">
        <f t="shared" si="0"/>
        <v>0</v>
      </c>
    </row>
    <row r="17" spans="4:14" x14ac:dyDescent="0.25">
      <c r="D17" s="2"/>
      <c r="F17" s="3">
        <f t="shared" si="1"/>
        <v>0</v>
      </c>
      <c r="L17" s="2"/>
      <c r="N17" s="3">
        <f t="shared" si="0"/>
        <v>0</v>
      </c>
    </row>
    <row r="18" spans="4:14" x14ac:dyDescent="0.25">
      <c r="D18" s="2"/>
      <c r="F18" s="3">
        <f t="shared" si="1"/>
        <v>0</v>
      </c>
      <c r="L18" s="2"/>
      <c r="N18" s="3">
        <f t="shared" si="0"/>
        <v>0</v>
      </c>
    </row>
    <row r="19" spans="4:14" x14ac:dyDescent="0.25">
      <c r="D19" s="2"/>
      <c r="F19" s="3">
        <f t="shared" si="1"/>
        <v>0</v>
      </c>
      <c r="L19" s="2"/>
      <c r="N19" s="3">
        <f t="shared" si="0"/>
        <v>0</v>
      </c>
    </row>
    <row r="20" spans="4:14" x14ac:dyDescent="0.25">
      <c r="D20" s="2"/>
      <c r="F20" s="3">
        <f t="shared" si="1"/>
        <v>0</v>
      </c>
      <c r="L20" s="2"/>
      <c r="N20" s="3">
        <f t="shared" si="0"/>
        <v>0</v>
      </c>
    </row>
    <row r="21" spans="4:14" x14ac:dyDescent="0.25">
      <c r="D21" s="2"/>
      <c r="F21" s="3">
        <f t="shared" si="1"/>
        <v>0</v>
      </c>
      <c r="L21" s="2"/>
      <c r="N21" s="3">
        <f t="shared" si="0"/>
        <v>0</v>
      </c>
    </row>
    <row r="22" spans="4:14" x14ac:dyDescent="0.25">
      <c r="D22" s="2"/>
      <c r="F22" s="3">
        <f t="shared" si="1"/>
        <v>0</v>
      </c>
      <c r="L22" s="2"/>
      <c r="N22" s="3">
        <f t="shared" si="0"/>
        <v>0</v>
      </c>
    </row>
    <row r="23" spans="4:14" x14ac:dyDescent="0.25">
      <c r="D23" s="2"/>
      <c r="F23" s="3">
        <f t="shared" si="1"/>
        <v>0</v>
      </c>
      <c r="L23" s="2"/>
      <c r="N23" s="3">
        <f t="shared" si="0"/>
        <v>0</v>
      </c>
    </row>
    <row r="24" spans="4:14" x14ac:dyDescent="0.25">
      <c r="D24" s="2"/>
      <c r="F24" s="3">
        <f t="shared" si="1"/>
        <v>0</v>
      </c>
      <c r="L24" s="2"/>
      <c r="N24" s="3">
        <f t="shared" si="0"/>
        <v>0</v>
      </c>
    </row>
    <row r="25" spans="4:14" x14ac:dyDescent="0.25">
      <c r="D25" s="2"/>
      <c r="F25" s="3">
        <f t="shared" si="1"/>
        <v>0</v>
      </c>
      <c r="L25" s="2"/>
      <c r="N25" s="3">
        <f t="shared" si="0"/>
        <v>0</v>
      </c>
    </row>
    <row r="26" spans="4:14" x14ac:dyDescent="0.25">
      <c r="D26" s="2"/>
      <c r="F26" s="3">
        <f t="shared" si="1"/>
        <v>0</v>
      </c>
      <c r="L26" s="2"/>
      <c r="N26" s="3">
        <f t="shared" si="0"/>
        <v>0</v>
      </c>
    </row>
    <row r="27" spans="4:14" x14ac:dyDescent="0.25">
      <c r="D27" s="2"/>
      <c r="F27" s="3">
        <f t="shared" si="1"/>
        <v>0</v>
      </c>
      <c r="L27" s="2"/>
      <c r="N27" s="3">
        <f t="shared" si="0"/>
        <v>0</v>
      </c>
    </row>
    <row r="28" spans="4:14" x14ac:dyDescent="0.25">
      <c r="D28" s="2"/>
      <c r="F28" s="3">
        <f t="shared" si="1"/>
        <v>0</v>
      </c>
      <c r="L28" s="2"/>
      <c r="N28" s="3">
        <f t="shared" si="0"/>
        <v>0</v>
      </c>
    </row>
    <row r="29" spans="4:14" x14ac:dyDescent="0.25">
      <c r="D29" s="2"/>
      <c r="F29" s="3">
        <f t="shared" si="1"/>
        <v>0</v>
      </c>
      <c r="L29" s="2"/>
      <c r="N29" s="3">
        <f t="shared" si="0"/>
        <v>0</v>
      </c>
    </row>
    <row r="30" spans="4:14" x14ac:dyDescent="0.25">
      <c r="D30" s="2"/>
      <c r="F30" s="3">
        <f t="shared" si="1"/>
        <v>0</v>
      </c>
      <c r="L30" s="2"/>
      <c r="N30" s="3">
        <f t="shared" si="0"/>
        <v>0</v>
      </c>
    </row>
    <row r="31" spans="4:14" x14ac:dyDescent="0.25">
      <c r="D31" s="2"/>
      <c r="F31" s="3">
        <f t="shared" si="1"/>
        <v>0</v>
      </c>
      <c r="L31" s="2"/>
      <c r="N31" s="3">
        <f t="shared" si="0"/>
        <v>0</v>
      </c>
    </row>
    <row r="32" spans="4:14" x14ac:dyDescent="0.25">
      <c r="D32" s="2"/>
      <c r="F32" s="3">
        <f t="shared" si="1"/>
        <v>0</v>
      </c>
      <c r="L32" s="2"/>
      <c r="N32" s="3">
        <f t="shared" si="0"/>
        <v>0</v>
      </c>
    </row>
    <row r="33" spans="4:14" x14ac:dyDescent="0.25">
      <c r="D33" s="2"/>
      <c r="F33" s="3">
        <f t="shared" si="1"/>
        <v>0</v>
      </c>
      <c r="L33" s="2"/>
      <c r="N33" s="3">
        <f t="shared" si="0"/>
        <v>0</v>
      </c>
    </row>
    <row r="34" spans="4:14" x14ac:dyDescent="0.25">
      <c r="D34" s="2"/>
      <c r="F34" s="3">
        <f t="shared" si="1"/>
        <v>0</v>
      </c>
      <c r="L34" s="2"/>
      <c r="N34" s="3">
        <f t="shared" si="0"/>
        <v>0</v>
      </c>
    </row>
    <row r="35" spans="4:14" x14ac:dyDescent="0.25">
      <c r="D35" s="2"/>
      <c r="F35" s="3">
        <f t="shared" si="1"/>
        <v>0</v>
      </c>
      <c r="L35" s="2"/>
      <c r="N35" s="3">
        <f t="shared" si="0"/>
        <v>0</v>
      </c>
    </row>
    <row r="36" spans="4:14" x14ac:dyDescent="0.25">
      <c r="D36" s="2"/>
      <c r="F36" s="3">
        <f t="shared" si="1"/>
        <v>0</v>
      </c>
      <c r="L36" s="2"/>
      <c r="N36" s="3">
        <f t="shared" si="0"/>
        <v>0</v>
      </c>
    </row>
    <row r="37" spans="4:14" x14ac:dyDescent="0.25">
      <c r="D37" s="2"/>
      <c r="F37" s="3">
        <f t="shared" si="1"/>
        <v>0</v>
      </c>
      <c r="L37" s="2"/>
      <c r="N37" s="3">
        <f t="shared" si="0"/>
        <v>0</v>
      </c>
    </row>
    <row r="38" spans="4:14" x14ac:dyDescent="0.25">
      <c r="D38" s="2"/>
      <c r="F38" s="3">
        <f t="shared" si="1"/>
        <v>0</v>
      </c>
      <c r="L38" s="2"/>
      <c r="N38" s="3">
        <f t="shared" si="0"/>
        <v>0</v>
      </c>
    </row>
  </sheetData>
  <mergeCells count="4">
    <mergeCell ref="A1:I2"/>
    <mergeCell ref="B7:F7"/>
    <mergeCell ref="J7:N7"/>
    <mergeCell ref="G4:I4"/>
  </mergeCells>
  <conditionalFormatting sqref="F9:F3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{5341AAF0-3A41-489D-9389-440906FECD5F}</x14:id>
        </ext>
      </extLst>
    </cfRule>
  </conditionalFormatting>
  <conditionalFormatting sqref="N9:N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{F6BC568E-8266-4CF3-809F-90BA75DC532F}</x14:id>
        </ext>
      </extLst>
    </cfRule>
  </conditionalFormatting>
  <pageMargins left="0.511811024" right="0.511811024" top="0.78740157499999996" bottom="0.78740157499999996" header="0.31496062000000002" footer="0.31496062000000002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41AAF0-3A41-489D-9389-440906FEC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F9:F38</xm:sqref>
        </x14:conditionalFormatting>
        <x14:conditionalFormatting xmlns:xm="http://schemas.microsoft.com/office/excel/2006/main">
          <x14:cfRule type="dataBar" id="{F6BC568E-8266-4CF3-809F-90BA75DC53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N9:N38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3D1456-1D1D-4A18-9788-22D95EE4CDD3}">
          <x14:formula1>
            <xm:f>Configurações!$B$2:$B$6</xm:f>
          </x14:formula1>
          <xm:sqref>B9:B38</xm:sqref>
        </x14:dataValidation>
        <x14:dataValidation type="list" allowBlank="1" showInputMessage="1" showErrorMessage="1" xr:uid="{31EC46B6-252F-497F-84FE-964EF3CCE425}">
          <x14:formula1>
            <xm:f>Configurações!$D$2:$D$6</xm:f>
          </x14:formula1>
          <xm:sqref>J9:J38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92D1-6552-432D-B838-2FCD424E2A1A}">
  <dimension ref="A1:O38"/>
  <sheetViews>
    <sheetView workbookViewId="0">
      <selection sqref="A1:I2"/>
    </sheetView>
  </sheetViews>
  <sheetFormatPr defaultRowHeight="15" x14ac:dyDescent="0.25"/>
  <cols>
    <col min="2" max="2" width="19.140625" bestFit="1" customWidth="1"/>
    <col min="3" max="3" width="12.7109375" customWidth="1"/>
    <col min="4" max="4" width="15.140625" customWidth="1"/>
    <col min="5" max="5" width="16" customWidth="1"/>
    <col min="6" max="6" width="12.5703125" customWidth="1"/>
    <col min="7" max="7" width="14.85546875" customWidth="1"/>
  </cols>
  <sheetData>
    <row r="1" spans="1:15" x14ac:dyDescent="0.25">
      <c r="A1" s="14" t="s">
        <v>45</v>
      </c>
      <c r="B1" s="15"/>
      <c r="C1" s="15"/>
      <c r="D1" s="15"/>
      <c r="E1" s="15"/>
      <c r="F1" s="15"/>
      <c r="G1" s="15"/>
      <c r="H1" s="15"/>
      <c r="I1" s="15"/>
    </row>
    <row r="2" spans="1:15" x14ac:dyDescent="0.25">
      <c r="A2" s="15"/>
      <c r="B2" s="15"/>
      <c r="C2" s="15"/>
      <c r="D2" s="15"/>
      <c r="E2" s="15"/>
      <c r="F2" s="15"/>
      <c r="G2" s="15"/>
      <c r="H2" s="15"/>
      <c r="I2" s="15"/>
    </row>
    <row r="8" spans="1:15" x14ac:dyDescent="0.25">
      <c r="B8" s="4" t="s">
        <v>30</v>
      </c>
      <c r="C8" s="4" t="s">
        <v>31</v>
      </c>
      <c r="D8" s="4" t="s">
        <v>10</v>
      </c>
      <c r="E8" s="4" t="s">
        <v>32</v>
      </c>
      <c r="F8" s="4" t="s">
        <v>33</v>
      </c>
      <c r="G8" s="4" t="s">
        <v>34</v>
      </c>
    </row>
    <row r="9" spans="1:15" x14ac:dyDescent="0.25">
      <c r="B9" t="s">
        <v>40</v>
      </c>
      <c r="E9" s="2">
        <v>1500</v>
      </c>
      <c r="F9" s="2">
        <v>4000</v>
      </c>
      <c r="G9" s="2">
        <f t="shared" ref="G9:G38" si="0">F9-E9</f>
        <v>2500</v>
      </c>
      <c r="L9" s="13" t="s">
        <v>42</v>
      </c>
      <c r="M9" s="13"/>
      <c r="N9" s="13"/>
      <c r="O9" s="13"/>
    </row>
    <row r="10" spans="1:15" x14ac:dyDescent="0.25">
      <c r="B10" t="s">
        <v>37</v>
      </c>
      <c r="E10" s="2">
        <v>120</v>
      </c>
      <c r="F10" s="2">
        <v>100</v>
      </c>
      <c r="G10" s="2">
        <f t="shared" si="0"/>
        <v>-20</v>
      </c>
      <c r="L10" s="7"/>
      <c r="M10" s="7"/>
      <c r="N10" s="7"/>
      <c r="O10" s="7"/>
    </row>
    <row r="11" spans="1:15" x14ac:dyDescent="0.25">
      <c r="B11" t="s">
        <v>38</v>
      </c>
      <c r="E11" s="2">
        <v>150</v>
      </c>
      <c r="F11" s="2">
        <v>180</v>
      </c>
      <c r="G11" s="2">
        <f t="shared" si="0"/>
        <v>30</v>
      </c>
      <c r="L11" s="7"/>
      <c r="M11" s="12">
        <f>SUM(E:E)</f>
        <v>2160</v>
      </c>
      <c r="N11" s="12"/>
      <c r="O11" s="7"/>
    </row>
    <row r="12" spans="1:15" x14ac:dyDescent="0.25">
      <c r="B12" t="s">
        <v>36</v>
      </c>
      <c r="E12" s="2">
        <v>90</v>
      </c>
      <c r="F12" s="2">
        <v>70</v>
      </c>
      <c r="G12" s="2">
        <f t="shared" si="0"/>
        <v>-20</v>
      </c>
    </row>
    <row r="13" spans="1:15" x14ac:dyDescent="0.25">
      <c r="B13" t="s">
        <v>39</v>
      </c>
      <c r="E13" s="2">
        <v>300</v>
      </c>
      <c r="F13" s="2">
        <v>450</v>
      </c>
      <c r="G13" s="2">
        <f t="shared" si="0"/>
        <v>150</v>
      </c>
    </row>
    <row r="14" spans="1:15" x14ac:dyDescent="0.25">
      <c r="E14" s="2"/>
      <c r="F14" s="2"/>
      <c r="G14" s="2">
        <f t="shared" si="0"/>
        <v>0</v>
      </c>
    </row>
    <row r="15" spans="1:15" x14ac:dyDescent="0.25">
      <c r="E15" s="2"/>
      <c r="F15" s="2"/>
      <c r="G15" s="2">
        <f t="shared" si="0"/>
        <v>0</v>
      </c>
      <c r="L15" s="13" t="s">
        <v>43</v>
      </c>
      <c r="M15" s="13"/>
      <c r="N15" s="13"/>
      <c r="O15" s="13"/>
    </row>
    <row r="16" spans="1:15" x14ac:dyDescent="0.25">
      <c r="E16" s="2"/>
      <c r="F16" s="2"/>
      <c r="G16" s="2">
        <f t="shared" si="0"/>
        <v>0</v>
      </c>
      <c r="L16" s="7"/>
      <c r="M16" s="7"/>
      <c r="N16" s="7"/>
      <c r="O16" s="7"/>
    </row>
    <row r="17" spans="5:15" x14ac:dyDescent="0.25">
      <c r="E17" s="2"/>
      <c r="F17" s="2"/>
      <c r="G17" s="2">
        <f t="shared" si="0"/>
        <v>0</v>
      </c>
      <c r="L17" s="7"/>
      <c r="M17" s="12">
        <f>SUM(F:F)</f>
        <v>4800</v>
      </c>
      <c r="N17" s="12"/>
      <c r="O17" s="7"/>
    </row>
    <row r="18" spans="5:15" x14ac:dyDescent="0.25">
      <c r="E18" s="2"/>
      <c r="F18" s="2"/>
      <c r="G18" s="2">
        <f t="shared" si="0"/>
        <v>0</v>
      </c>
    </row>
    <row r="19" spans="5:15" x14ac:dyDescent="0.25">
      <c r="E19" s="2"/>
      <c r="F19" s="2"/>
      <c r="G19" s="2">
        <f t="shared" si="0"/>
        <v>0</v>
      </c>
    </row>
    <row r="20" spans="5:15" x14ac:dyDescent="0.25">
      <c r="E20" s="2"/>
      <c r="F20" s="2"/>
      <c r="G20" s="2">
        <f t="shared" si="0"/>
        <v>0</v>
      </c>
    </row>
    <row r="21" spans="5:15" x14ac:dyDescent="0.25">
      <c r="E21" s="2"/>
      <c r="F21" s="2"/>
      <c r="G21" s="2">
        <f t="shared" si="0"/>
        <v>0</v>
      </c>
      <c r="L21" s="13" t="s">
        <v>44</v>
      </c>
      <c r="M21" s="13"/>
      <c r="N21" s="13"/>
      <c r="O21" s="13"/>
    </row>
    <row r="22" spans="5:15" x14ac:dyDescent="0.25">
      <c r="E22" s="2"/>
      <c r="F22" s="2"/>
      <c r="G22" s="2">
        <f t="shared" si="0"/>
        <v>0</v>
      </c>
      <c r="L22" s="7"/>
      <c r="M22" s="7"/>
      <c r="N22" s="7"/>
      <c r="O22" s="7"/>
    </row>
    <row r="23" spans="5:15" x14ac:dyDescent="0.25">
      <c r="E23" s="2"/>
      <c r="F23" s="2"/>
      <c r="G23" s="2">
        <f t="shared" si="0"/>
        <v>0</v>
      </c>
      <c r="L23" s="7"/>
      <c r="M23" s="12">
        <f>M17-M11</f>
        <v>2640</v>
      </c>
      <c r="N23" s="13"/>
      <c r="O23" s="7"/>
    </row>
    <row r="24" spans="5:15" x14ac:dyDescent="0.25">
      <c r="E24" s="2"/>
      <c r="F24" s="2"/>
      <c r="G24" s="2">
        <f t="shared" si="0"/>
        <v>0</v>
      </c>
    </row>
    <row r="25" spans="5:15" x14ac:dyDescent="0.25">
      <c r="E25" s="2"/>
      <c r="F25" s="2"/>
      <c r="G25" s="2">
        <f t="shared" si="0"/>
        <v>0</v>
      </c>
    </row>
    <row r="26" spans="5:15" x14ac:dyDescent="0.25">
      <c r="E26" s="2"/>
      <c r="F26" s="2"/>
      <c r="G26" s="2">
        <f t="shared" si="0"/>
        <v>0</v>
      </c>
    </row>
    <row r="27" spans="5:15" x14ac:dyDescent="0.25">
      <c r="E27" s="2"/>
      <c r="F27" s="2"/>
      <c r="G27" s="2">
        <f t="shared" si="0"/>
        <v>0</v>
      </c>
    </row>
    <row r="28" spans="5:15" x14ac:dyDescent="0.25">
      <c r="E28" s="2"/>
      <c r="F28" s="2"/>
      <c r="G28" s="2">
        <f t="shared" si="0"/>
        <v>0</v>
      </c>
    </row>
    <row r="29" spans="5:15" x14ac:dyDescent="0.25">
      <c r="E29" s="2"/>
      <c r="F29" s="2"/>
      <c r="G29" s="2">
        <f t="shared" si="0"/>
        <v>0</v>
      </c>
    </row>
    <row r="30" spans="5:15" x14ac:dyDescent="0.25">
      <c r="E30" s="2"/>
      <c r="F30" s="2"/>
      <c r="G30" s="2">
        <f t="shared" si="0"/>
        <v>0</v>
      </c>
    </row>
    <row r="31" spans="5:15" x14ac:dyDescent="0.25">
      <c r="E31" s="2"/>
      <c r="F31" s="2"/>
      <c r="G31" s="2">
        <f t="shared" si="0"/>
        <v>0</v>
      </c>
    </row>
    <row r="32" spans="5:15" x14ac:dyDescent="0.25">
      <c r="E32" s="2"/>
      <c r="F32" s="2"/>
      <c r="G32" s="2">
        <f t="shared" si="0"/>
        <v>0</v>
      </c>
    </row>
    <row r="33" spans="5:7" x14ac:dyDescent="0.25">
      <c r="E33" s="2"/>
      <c r="F33" s="2"/>
      <c r="G33" s="2">
        <f t="shared" si="0"/>
        <v>0</v>
      </c>
    </row>
    <row r="34" spans="5:7" x14ac:dyDescent="0.25">
      <c r="E34" s="2"/>
      <c r="F34" s="2"/>
      <c r="G34" s="2">
        <f t="shared" si="0"/>
        <v>0</v>
      </c>
    </row>
    <row r="35" spans="5:7" x14ac:dyDescent="0.25">
      <c r="E35" s="2"/>
      <c r="F35" s="2"/>
      <c r="G35" s="2">
        <f t="shared" si="0"/>
        <v>0</v>
      </c>
    </row>
    <row r="36" spans="5:7" x14ac:dyDescent="0.25">
      <c r="E36" s="2"/>
      <c r="F36" s="2"/>
      <c r="G36" s="2">
        <f t="shared" si="0"/>
        <v>0</v>
      </c>
    </row>
    <row r="37" spans="5:7" x14ac:dyDescent="0.25">
      <c r="E37" s="2"/>
      <c r="F37" s="2"/>
      <c r="G37" s="2">
        <f t="shared" si="0"/>
        <v>0</v>
      </c>
    </row>
    <row r="38" spans="5:7" x14ac:dyDescent="0.25">
      <c r="E38" s="2"/>
      <c r="F38" s="2"/>
      <c r="G38" s="2">
        <f t="shared" si="0"/>
        <v>0</v>
      </c>
    </row>
  </sheetData>
  <mergeCells count="7">
    <mergeCell ref="M23:N23"/>
    <mergeCell ref="A1:I2"/>
    <mergeCell ref="L9:O9"/>
    <mergeCell ref="L15:O15"/>
    <mergeCell ref="L21:O21"/>
    <mergeCell ref="M11:N11"/>
    <mergeCell ref="M17:N17"/>
  </mergeCells>
  <conditionalFormatting sqref="G9:G37">
    <cfRule type="cellIs" dxfId="1" priority="1" operator="lessThan">
      <formula>0</formula>
    </cfRule>
  </conditionalFormatting>
  <conditionalFormatting sqref="G9:G38"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7C2482-663B-436D-9F61-A8A2C8ADB5B1}">
          <x14:formula1>
            <xm:f>Configurações!$F$2:$F$9</xm:f>
          </x14:formula1>
          <xm:sqref>B9:B38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E6BB-5EA4-41F1-8192-3E0B8B7C1D73}">
  <dimension ref="B1:F9"/>
  <sheetViews>
    <sheetView workbookViewId="0">
      <selection activeCell="F2" sqref="F2:F9"/>
    </sheetView>
  </sheetViews>
  <sheetFormatPr defaultRowHeight="15" x14ac:dyDescent="0.25"/>
  <cols>
    <col min="2" max="2" width="12.28515625" bestFit="1" customWidth="1"/>
    <col min="4" max="4" width="16.28515625" bestFit="1" customWidth="1"/>
    <col min="6" max="6" width="19.140625" bestFit="1" customWidth="1"/>
  </cols>
  <sheetData>
    <row r="1" spans="2:6" x14ac:dyDescent="0.25">
      <c r="B1" s="11" t="s">
        <v>24</v>
      </c>
      <c r="D1" s="11" t="s">
        <v>25</v>
      </c>
      <c r="F1" s="11" t="s">
        <v>29</v>
      </c>
    </row>
    <row r="2" spans="2:6" x14ac:dyDescent="0.25">
      <c r="B2" s="10" t="s">
        <v>9</v>
      </c>
      <c r="D2" s="10" t="s">
        <v>19</v>
      </c>
      <c r="F2" s="10" t="s">
        <v>35</v>
      </c>
    </row>
    <row r="3" spans="2:6" x14ac:dyDescent="0.25">
      <c r="B3" s="10" t="s">
        <v>10</v>
      </c>
      <c r="D3" s="10" t="s">
        <v>20</v>
      </c>
      <c r="F3" s="10" t="s">
        <v>36</v>
      </c>
    </row>
    <row r="4" spans="2:6" x14ac:dyDescent="0.25">
      <c r="B4" s="10" t="s">
        <v>11</v>
      </c>
      <c r="D4" s="10" t="s">
        <v>21</v>
      </c>
      <c r="F4" s="10" t="s">
        <v>37</v>
      </c>
    </row>
    <row r="5" spans="2:6" x14ac:dyDescent="0.25">
      <c r="B5" s="10" t="s">
        <v>12</v>
      </c>
      <c r="D5" s="10" t="s">
        <v>22</v>
      </c>
      <c r="F5" s="10" t="s">
        <v>38</v>
      </c>
    </row>
    <row r="6" spans="2:6" x14ac:dyDescent="0.25">
      <c r="B6" s="10" t="s">
        <v>13</v>
      </c>
      <c r="D6" s="10" t="s">
        <v>23</v>
      </c>
      <c r="F6" s="10" t="s">
        <v>39</v>
      </c>
    </row>
    <row r="7" spans="2:6" x14ac:dyDescent="0.25">
      <c r="F7" s="10" t="s">
        <v>40</v>
      </c>
    </row>
    <row r="8" spans="2:6" x14ac:dyDescent="0.25">
      <c r="F8" s="10" t="s">
        <v>56</v>
      </c>
    </row>
    <row r="9" spans="2:6" x14ac:dyDescent="0.25">
      <c r="F9" s="10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</vt:lpstr>
      <vt:lpstr>Dashboard</vt:lpstr>
      <vt:lpstr>Patrimônio</vt:lpstr>
      <vt:lpstr>Investimentos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Tayssa Elisa</dc:creator>
  <cp:lastModifiedBy>THYERIS VICTOR BAUCH</cp:lastModifiedBy>
  <dcterms:created xsi:type="dcterms:W3CDTF">2026-06-12T22:52:50Z</dcterms:created>
  <dcterms:modified xsi:type="dcterms:W3CDTF">2026-06-23T13:26:29Z</dcterms:modified>
</cp:coreProperties>
</file>