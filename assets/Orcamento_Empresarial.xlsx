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214776F-3A1A-48DA-917B-4A13FE622B4D}" xr6:coauthVersionLast="47" xr6:coauthVersionMax="47" xr10:uidLastSave="{00000000-0000-0000-0000-000000000000}"/>
  <bookViews>
    <workbookView xWindow="-120" yWindow="-120" windowWidth="20730" windowHeight="11160" activeTab="1" xr2:uid="{CCC6CBAA-3C86-4475-94F5-125F780E857A}"/>
  </bookViews>
  <sheets>
    <sheet name="Capa" sheetId="1" r:id="rId1"/>
    <sheet name="Dashboard" sheetId="2" r:id="rId2"/>
    <sheet name="Orçamento Anual" sheetId="3" r:id="rId3"/>
    <sheet name="Realizado" sheetId="4" r:id="rId4"/>
    <sheet name="Comparativo" sheetId="5" r:id="rId5"/>
    <sheet name="Configurações" sheetId="7" state="hidden" r:id="rId6"/>
  </sheets>
  <definedNames>
    <definedName name="Despesa">Configurações!$C$2:$C$10</definedName>
    <definedName name="Receita">Configurações!$A$2:$A$7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0" i="2" l="1"/>
  <c r="AE9" i="2"/>
  <c r="AE8" i="2"/>
  <c r="AE7" i="2"/>
  <c r="AE6" i="2"/>
  <c r="AE5" i="2"/>
  <c r="AE4" i="2"/>
  <c r="AE3" i="2"/>
  <c r="AE2" i="2"/>
  <c r="AB3" i="2"/>
  <c r="AB2" i="2"/>
  <c r="R7" i="2"/>
  <c r="M7" i="2"/>
  <c r="H7" i="2"/>
  <c r="C7" i="2"/>
  <c r="H10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B2" i="5"/>
  <c r="D2" i="5" s="1"/>
  <c r="B3" i="5"/>
  <c r="D3" i="5" s="1"/>
  <c r="B4" i="5"/>
  <c r="D4" i="5" s="1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D14" i="5" s="1"/>
  <c r="B15" i="5"/>
  <c r="D15" i="5" s="1"/>
  <c r="B16" i="5"/>
  <c r="D16" i="5" s="1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M23" i="4"/>
  <c r="M15" i="4"/>
  <c r="M7" i="4"/>
  <c r="H20" i="5" l="1"/>
  <c r="N20" i="5"/>
  <c r="N10" i="5"/>
</calcChain>
</file>

<file path=xl/sharedStrings.xml><?xml version="1.0" encoding="utf-8"?>
<sst xmlns="http://schemas.openxmlformats.org/spreadsheetml/2006/main" count="87" uniqueCount="45">
  <si>
    <t>ORÇAMENTO EMPRESARIAL</t>
  </si>
  <si>
    <t>Consultoria Financeira</t>
  </si>
  <si>
    <t>Controle seu orçamento, acompanhe seus resultados e impulsione o crescimento do seu negócio!</t>
  </si>
  <si>
    <t>NEXORA</t>
  </si>
  <si>
    <t>RECEITAS</t>
  </si>
  <si>
    <t>Vendas</t>
  </si>
  <si>
    <t>Serviços</t>
  </si>
  <si>
    <t>Consultorias</t>
  </si>
  <si>
    <t>Comissões</t>
  </si>
  <si>
    <t>Investimentos</t>
  </si>
  <si>
    <t>DESPESAS</t>
  </si>
  <si>
    <t>Marketing</t>
  </si>
  <si>
    <t>Salários</t>
  </si>
  <si>
    <t>Aluguel</t>
  </si>
  <si>
    <t>Internet</t>
  </si>
  <si>
    <t>Energia</t>
  </si>
  <si>
    <t>Impostos</t>
  </si>
  <si>
    <t>Transporte</t>
  </si>
  <si>
    <t>Fornecedores</t>
  </si>
  <si>
    <t>Mês</t>
  </si>
  <si>
    <t>Categoria</t>
  </si>
  <si>
    <t>Tipo</t>
  </si>
  <si>
    <t>Valor Orçado</t>
  </si>
  <si>
    <t>Receita</t>
  </si>
  <si>
    <t>Data</t>
  </si>
  <si>
    <t>Valor Real</t>
  </si>
  <si>
    <t>Receitas Realizadas</t>
  </si>
  <si>
    <t>Despesas Realizadas</t>
  </si>
  <si>
    <t>Saldo Real</t>
  </si>
  <si>
    <t>Despesa</t>
  </si>
  <si>
    <t>Orçado</t>
  </si>
  <si>
    <t>Realizado</t>
  </si>
  <si>
    <t>Diferença</t>
  </si>
  <si>
    <t>Outras Despesas</t>
  </si>
  <si>
    <t>Outras Receitas</t>
  </si>
  <si>
    <t>Total Orçado</t>
  </si>
  <si>
    <t>Total Realizado</t>
  </si>
  <si>
    <t>Diferença Total</t>
  </si>
  <si>
    <t>Aderência ao Orçamento</t>
  </si>
  <si>
    <t>Dashboard Financeiro</t>
  </si>
  <si>
    <t>Visão geral do desempenho financeiro</t>
  </si>
  <si>
    <t>Receita Total</t>
  </si>
  <si>
    <t>Despesa Total</t>
  </si>
  <si>
    <t>Resultado (Lucro/Prejuízo)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</si>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</sst>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26"/>
      <color rgb="FF54080D"/>
      <name val="Georgia"/>
      <family val="1"/>
    </font>
    <font>
      <sz val="12"/>
      <color theme="0"/>
      <name val="Georgia"/>
      <family val="1"/>
    </font>
    <font>
      <sz val="16"/>
      <color theme="1"/>
      <name val="Georgia"/>
      <family val="1"/>
    </font>
    <font>
      <sz val="28"/>
      <color theme="0"/>
      <name val="Georgia"/>
      <family val="1"/>
    </font>
    <font>
      <sz val="11"/>
      <color theme="0"/>
      <name val="Aptos Narrow"/>
      <family val="2"/>
      <scheme val="minor"/>
    </font>
    <font>
      <sz val="14"/>
      <color theme="0"/>
      <name val="Georgia"/>
      <family val="1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01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080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A4312"/>
        <bgColor indexed="64"/>
      </patternFill>
    </fill>
    <fill>
      <patternFill patternType="solid">
        <fgColor rgb="FFD34107"/>
        <bgColor indexed="64"/>
      </patternFill>
    </fill>
    <fill>
      <patternFill patternType="solid">
        <fgColor rgb="FFED905D"/>
        <bgColor indexed="64"/>
      </patternFill>
    </fill>
    <fill>
      <patternFill patternType="solid">
        <fgColor rgb="FF9E1C0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5" fillId="5" borderId="1" xfId="0" applyFont="1" applyFill="1" applyBorder="1"/>
    <xf numFmtId="0" fontId="0" fillId="5" borderId="1" xfId="0" applyFill="1" applyBorder="1"/>
    <xf numFmtId="4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44" fontId="0" fillId="9" borderId="0" xfId="0" applyNumberFormat="1" applyFill="1" applyAlignment="1">
      <alignment horizontal="center"/>
    </xf>
    <xf numFmtId="44" fontId="0" fillId="6" borderId="0" xfId="0" applyNumberFormat="1" applyFill="1" applyAlignment="1">
      <alignment horizontal="center"/>
    </xf>
    <xf numFmtId="44" fontId="0" fillId="7" borderId="0" xfId="0" applyNumberForma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44" fontId="0" fillId="5" borderId="1" xfId="0" applyNumberForma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164" formatCode="[$-F800]dddd\,\ mmmm\ dd\,\ yyyy"/>
    </dxf>
    <dxf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34" formatCode="_-&quot;R$&quot;* #,##0.00_-;\-&quot;R$&quot;* #,##0.00_-;_-&quot;R$&quot;* &quot;-&quot;??_-;_-@_-"/>
    </dxf>
    <dxf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34107"/>
      <color rgb="FF6A2E0C"/>
      <color rgb="FF9A4312"/>
      <color rgb="FF9E1C06"/>
      <color rgb="FFED905D"/>
      <color rgb="FF54080D"/>
      <color rgb="FF1F01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52537182852144"/>
          <c:y val="0.11069444444444444"/>
          <c:w val="0.8964746281714786"/>
          <c:h val="0.67167432195975507"/>
        </c:manualLayout>
      </c:layout>
      <c:bar3D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1423983"/>
        <c:axId val="1281440303"/>
        <c:axId val="0"/>
      </c:bar3DChart>
      <c:catAx>
        <c:axId val="128142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1440303"/>
        <c:crosses val="autoZero"/>
        <c:auto val="1"/>
        <c:lblAlgn val="ctr"/>
        <c:lblOffset val="100"/>
        <c:noMultiLvlLbl val="0"/>
      </c:catAx>
      <c:valAx>
        <c:axId val="128144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14239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  <a:latin typeface="Georgia" panose="02040502050405020303" pitchFamily="18" charset="0"/>
              </a:rPr>
              <a:t>Receita</a:t>
            </a:r>
            <a:r>
              <a:rPr lang="pt-BR" b="1" baseline="0">
                <a:solidFill>
                  <a:schemeClr val="tx1"/>
                </a:solidFill>
                <a:latin typeface="Georgia" panose="02040502050405020303" pitchFamily="18" charset="0"/>
              </a:rPr>
              <a:t> X Despesa</a:t>
            </a:r>
            <a:endParaRPr lang="pt-BR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cat>
            <c:strRef>
              <c:f>Dashboard!$AA$2:$AA$3</c:f>
              <c:strCache>
                <c:ptCount val="2"/>
                <c:pt idx="0">
                  <c:v>Receita</c:v>
                </c:pt>
                <c:pt idx="1">
                  <c:v>Despesa</c:v>
                </c:pt>
              </c:strCache>
            </c:strRef>
          </c:cat>
          <c:val>
            <c:numRef>
              <c:f>Dashboard!$AB$2:$AB$3</c:f>
              <c:numCache>
                <c:formatCode>General</c:formatCode>
                <c:ptCount val="2"/>
                <c:pt idx="0">
                  <c:v>200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4-4D57-B760-DB5CB6D0D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1466703"/>
        <c:axId val="1281454703"/>
        <c:axId val="0"/>
      </c:bar3DChart>
      <c:catAx>
        <c:axId val="12814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1454703"/>
        <c:crosses val="autoZero"/>
        <c:auto val="1"/>
        <c:lblAlgn val="ctr"/>
        <c:lblOffset val="100"/>
        <c:noMultiLvlLbl val="0"/>
      </c:catAx>
      <c:valAx>
        <c:axId val="12814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146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  <a:latin typeface="Georgia" panose="02040502050405020303" pitchFamily="18" charset="0"/>
              </a:rPr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75-4853-97EA-FF901AD351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75-4853-97EA-FF901AD351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75-4853-97EA-FF901AD3519A}"/>
              </c:ext>
            </c:extLst>
          </c:dPt>
          <c:dPt>
            <c:idx val="3"/>
            <c:bubble3D val="0"/>
            <c:spPr>
              <a:solidFill>
                <a:srgbClr val="D3410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75-4853-97EA-FF901AD3519A}"/>
              </c:ext>
            </c:extLst>
          </c:dPt>
          <c:dPt>
            <c:idx val="4"/>
            <c:bubble3D val="0"/>
            <c:spPr>
              <a:solidFill>
                <a:srgbClr val="6A2E0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75-4853-97EA-FF901AD351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75-4853-97EA-FF901AD351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75-4853-97EA-FF901AD351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75-4853-97EA-FF901AD351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75-4853-97EA-FF901AD3519A}"/>
              </c:ext>
            </c:extLst>
          </c:dPt>
          <c:cat>
            <c:strRef>
              <c:f>Dashboard!$AD$2:$AD$10</c:f>
              <c:strCache>
                <c:ptCount val="9"/>
                <c:pt idx="0">
                  <c:v>Marketing</c:v>
                </c:pt>
                <c:pt idx="1">
                  <c:v>Salários</c:v>
                </c:pt>
                <c:pt idx="2">
                  <c:v>Aluguel</c:v>
                </c:pt>
                <c:pt idx="3">
                  <c:v>Internet</c:v>
                </c:pt>
                <c:pt idx="4">
                  <c:v>Energia</c:v>
                </c:pt>
                <c:pt idx="5">
                  <c:v>Impostos</c:v>
                </c:pt>
                <c:pt idx="6">
                  <c:v>Transporte</c:v>
                </c:pt>
                <c:pt idx="7">
                  <c:v>Fornecedores</c:v>
                </c:pt>
                <c:pt idx="8">
                  <c:v>Outras Despesas</c:v>
                </c:pt>
              </c:strCache>
            </c:strRef>
          </c:cat>
          <c:val>
            <c:numRef>
              <c:f>Dashboard!$AE$2:$AE$10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C-4881-BA83-19710041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  <a:latin typeface="Georgia" panose="02040502050405020303" pitchFamily="18" charset="0"/>
              </a:rPr>
              <a:t>Orçado</a:t>
            </a:r>
            <a:r>
              <a:rPr lang="pt-BR" b="1" baseline="0">
                <a:solidFill>
                  <a:schemeClr val="tx1"/>
                </a:solidFill>
                <a:latin typeface="Georgia" panose="02040502050405020303" pitchFamily="18" charset="0"/>
              </a:rPr>
              <a:t> X Realizado</a:t>
            </a:r>
            <a:endParaRPr lang="pt-BR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Orçado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Comparativo!$A$2:$A$16</c:f>
              <c:strCache>
                <c:ptCount val="15"/>
                <c:pt idx="0">
                  <c:v>Marketing</c:v>
                </c:pt>
                <c:pt idx="1">
                  <c:v>Salários</c:v>
                </c:pt>
                <c:pt idx="2">
                  <c:v>Aluguel</c:v>
                </c:pt>
                <c:pt idx="3">
                  <c:v>Internet</c:v>
                </c:pt>
                <c:pt idx="4">
                  <c:v>Energia</c:v>
                </c:pt>
                <c:pt idx="5">
                  <c:v>Impostos</c:v>
                </c:pt>
                <c:pt idx="6">
                  <c:v>Transporte</c:v>
                </c:pt>
                <c:pt idx="7">
                  <c:v>Fornecedores</c:v>
                </c:pt>
                <c:pt idx="8">
                  <c:v>Outras Despesas</c:v>
                </c:pt>
                <c:pt idx="9">
                  <c:v>Vendas</c:v>
                </c:pt>
                <c:pt idx="10">
                  <c:v>Serviços</c:v>
                </c:pt>
                <c:pt idx="11">
                  <c:v>Consultorias</c:v>
                </c:pt>
                <c:pt idx="12">
                  <c:v>Comissões</c:v>
                </c:pt>
                <c:pt idx="13">
                  <c:v>Investimentos</c:v>
                </c:pt>
                <c:pt idx="14">
                  <c:v>Outras Receitas</c:v>
                </c:pt>
              </c:strCache>
            </c:strRef>
          </c:cat>
          <c:val>
            <c:numRef>
              <c:f>Comparativo!$B$2:$B$16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150</c:v>
                </c:pt>
                <c:pt idx="10">
                  <c:v>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6-49AB-87B1-6DE5461A300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Comparativo!$A$2:$A$16</c:f>
              <c:strCache>
                <c:ptCount val="15"/>
                <c:pt idx="0">
                  <c:v>Marketing</c:v>
                </c:pt>
                <c:pt idx="1">
                  <c:v>Salários</c:v>
                </c:pt>
                <c:pt idx="2">
                  <c:v>Aluguel</c:v>
                </c:pt>
                <c:pt idx="3">
                  <c:v>Internet</c:v>
                </c:pt>
                <c:pt idx="4">
                  <c:v>Energia</c:v>
                </c:pt>
                <c:pt idx="5">
                  <c:v>Impostos</c:v>
                </c:pt>
                <c:pt idx="6">
                  <c:v>Transporte</c:v>
                </c:pt>
                <c:pt idx="7">
                  <c:v>Fornecedores</c:v>
                </c:pt>
                <c:pt idx="8">
                  <c:v>Outras Despesas</c:v>
                </c:pt>
                <c:pt idx="9">
                  <c:v>Vendas</c:v>
                </c:pt>
                <c:pt idx="10">
                  <c:v>Serviços</c:v>
                </c:pt>
                <c:pt idx="11">
                  <c:v>Consultorias</c:v>
                </c:pt>
                <c:pt idx="12">
                  <c:v>Comissões</c:v>
                </c:pt>
                <c:pt idx="13">
                  <c:v>Investimentos</c:v>
                </c:pt>
                <c:pt idx="14">
                  <c:v>Outras Receitas</c:v>
                </c:pt>
              </c:strCache>
            </c:strRef>
          </c:cat>
          <c:val>
            <c:numRef>
              <c:f>Comparativo!$C$2:$C$16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6-49AB-87B1-6DE5461A3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8649279"/>
        <c:axId val="1418635839"/>
      </c:barChart>
      <c:catAx>
        <c:axId val="141864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635839"/>
        <c:crosses val="autoZero"/>
        <c:auto val="1"/>
        <c:lblAlgn val="ctr"/>
        <c:lblOffset val="100"/>
        <c:noMultiLvlLbl val="0"/>
      </c:catAx>
      <c:valAx>
        <c:axId val="141863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864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alizado!A1"/><Relationship Id="rId2" Type="http://schemas.openxmlformats.org/officeDocument/2006/relationships/hyperlink" Target="#'Or&#231;amento Anual'!A1"/><Relationship Id="rId1" Type="http://schemas.openxmlformats.org/officeDocument/2006/relationships/hyperlink" Target="#Dashboard!A1"/><Relationship Id="rId4" Type="http://schemas.openxmlformats.org/officeDocument/2006/relationships/hyperlink" Target="#Comparativ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14</xdr:row>
      <xdr:rowOff>19050</xdr:rowOff>
    </xdr:from>
    <xdr:to>
      <xdr:col>4</xdr:col>
      <xdr:colOff>600075</xdr:colOff>
      <xdr:row>15</xdr:row>
      <xdr:rowOff>180975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4EE74-229D-D685-129B-EAF96779A245}"/>
            </a:ext>
          </a:extLst>
        </xdr:cNvPr>
        <xdr:cNvSpPr/>
      </xdr:nvSpPr>
      <xdr:spPr>
        <a:xfrm>
          <a:off x="1819275" y="2990850"/>
          <a:ext cx="1219200" cy="352425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</a:t>
          </a:r>
        </a:p>
      </xdr:txBody>
    </xdr:sp>
    <xdr:clientData/>
  </xdr:twoCellAnchor>
  <xdr:twoCellAnchor>
    <xdr:from>
      <xdr:col>6</xdr:col>
      <xdr:colOff>9525</xdr:colOff>
      <xdr:row>14</xdr:row>
      <xdr:rowOff>9526</xdr:rowOff>
    </xdr:from>
    <xdr:to>
      <xdr:col>9</xdr:col>
      <xdr:colOff>0</xdr:colOff>
      <xdr:row>16</xdr:row>
      <xdr:rowOff>9526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A57547-B2D3-85C5-FB5F-A1656DBADBF4}"/>
            </a:ext>
          </a:extLst>
        </xdr:cNvPr>
        <xdr:cNvSpPr/>
      </xdr:nvSpPr>
      <xdr:spPr>
        <a:xfrm>
          <a:off x="3667125" y="2981326"/>
          <a:ext cx="1819275" cy="38100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Orçamento Anual</a:t>
          </a:r>
        </a:p>
      </xdr:txBody>
    </xdr:sp>
    <xdr:clientData/>
  </xdr:twoCellAnchor>
  <xdr:twoCellAnchor>
    <xdr:from>
      <xdr:col>10</xdr:col>
      <xdr:colOff>19050</xdr:colOff>
      <xdr:row>14</xdr:row>
      <xdr:rowOff>9525</xdr:rowOff>
    </xdr:from>
    <xdr:to>
      <xdr:col>12</xdr:col>
      <xdr:colOff>19050</xdr:colOff>
      <xdr:row>15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30E138-E47A-6075-3763-80EFA93B4BD5}"/>
            </a:ext>
          </a:extLst>
        </xdr:cNvPr>
        <xdr:cNvSpPr/>
      </xdr:nvSpPr>
      <xdr:spPr>
        <a:xfrm>
          <a:off x="6115050" y="2981325"/>
          <a:ext cx="1219200" cy="36195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Realizado</a:t>
          </a:r>
        </a:p>
      </xdr:txBody>
    </xdr:sp>
    <xdr:clientData/>
  </xdr:twoCellAnchor>
  <xdr:twoCellAnchor>
    <xdr:from>
      <xdr:col>13</xdr:col>
      <xdr:colOff>9525</xdr:colOff>
      <xdr:row>14</xdr:row>
      <xdr:rowOff>19050</xdr:rowOff>
    </xdr:from>
    <xdr:to>
      <xdr:col>15</xdr:col>
      <xdr:colOff>0</xdr:colOff>
      <xdr:row>16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ADFF33-D1D4-CB53-4063-AB9BA8383E91}"/>
            </a:ext>
          </a:extLst>
        </xdr:cNvPr>
        <xdr:cNvSpPr/>
      </xdr:nvSpPr>
      <xdr:spPr>
        <a:xfrm>
          <a:off x="7934325" y="2990850"/>
          <a:ext cx="1209675" cy="361950"/>
        </a:xfrm>
        <a:prstGeom prst="roundRect">
          <a:avLst/>
        </a:prstGeom>
        <a:solidFill>
          <a:srgbClr val="54080D"/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Comparativo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104775</xdr:rowOff>
    </xdr:from>
    <xdr:to>
      <xdr:col>7</xdr:col>
      <xdr:colOff>304800</xdr:colOff>
      <xdr:row>23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B2D54E-CB58-416E-9559-CF790C2E1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333375</xdr:colOff>
      <xdr:row>9</xdr:row>
      <xdr:rowOff>100012</xdr:rowOff>
    </xdr:from>
    <xdr:to>
      <xdr:col>21</xdr:col>
      <xdr:colOff>28575</xdr:colOff>
      <xdr:row>23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A2A8B9-3177-2F7E-7EF8-C9F9E4B64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504825</xdr:colOff>
      <xdr:row>9</xdr:row>
      <xdr:rowOff>71437</xdr:rowOff>
    </xdr:from>
    <xdr:to>
      <xdr:col>14</xdr:col>
      <xdr:colOff>200025</xdr:colOff>
      <xdr:row>23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2260907-3241-9B06-215C-3BB0439F4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76200</xdr:rowOff>
    </xdr:from>
    <xdr:to>
      <xdr:col>8</xdr:col>
      <xdr:colOff>200025</xdr:colOff>
      <xdr:row>25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FB2742E-84D1-4108-9885-47BF3662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5C47F-1C69-4BC8-8EDA-C4997759103C}" name="Tabela1" displayName="Tabela1" ref="A1:D501" totalsRowShown="0" headerRowDxfId="9">
  <autoFilter ref="A1:D501" xr:uid="{1CD5C47F-1C69-4BC8-8EDA-C4997759103C}"/>
  <tableColumns count="4">
    <tableColumn id="1" xr3:uid="{9E53DD8A-94C2-41D8-BB5A-CF3D91633C1E}" name="Mês"/>
    <tableColumn id="2" xr3:uid="{86E136E6-00AB-4E8C-AC69-9990CBBFFFA2}" name="Categoria"/>
    <tableColumn id="3" xr3:uid="{E5C9B226-736B-4AF9-8A5C-0E88795AF7B3}" name="Tipo"/>
    <tableColumn id="4" xr3:uid="{9E574B76-5719-4238-ACAC-11C047F8D3E4}" name="Valor Orçado" dataDxfId="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00E8D-BB5F-4F91-8336-B7396DE5CAC0}" name="Tabela2" displayName="Tabela2" ref="A1:E501" totalsRowShown="0" headerRowDxfId="7">
  <autoFilter ref="A1:E501" xr:uid="{1DE00E8D-BB5F-4F91-8336-B7396DE5CAC0}"/>
  <tableColumns count="5">
    <tableColumn id="1" xr3:uid="{DF68C3AA-390E-4148-8A09-60CD119D70E0}" name="Data" dataDxfId="6"/>
    <tableColumn id="2" xr3:uid="{9CAAB815-0276-49D8-879E-1D783C14202D}" name="Mês"/>
    <tableColumn id="3" xr3:uid="{1F0F0BBB-4D20-4710-901E-36BFEEA55860}" name="Tipo"/>
    <tableColumn id="4" xr3:uid="{EF9913DC-0257-4588-9C53-686F3BB20147}" name="Categoria"/>
    <tableColumn id="5" xr3:uid="{3C483946-505E-4BEB-81E2-48CA75079632}" name="Valor Real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318369-A780-4576-B094-0ADE2E13767D}" name="Tabela3" displayName="Tabela3" ref="A1:D501" totalsRowShown="0" headerRowDxfId="5">
  <autoFilter ref="A1:D501" xr:uid="{E9318369-A780-4576-B094-0ADE2E13767D}"/>
  <tableColumns count="4">
    <tableColumn id="1" xr3:uid="{67BABAAD-5495-4861-92FB-129E42740D34}" name="Categoria"/>
    <tableColumn id="2" xr3:uid="{EB38C713-BE31-4231-8FB6-614A8986DDAA}" name="Orçado" dataDxfId="4">
      <calculatedColumnFormula>IF(A2="","",SUMIF('Orçamento Anual'!B:B,A2,'Orçamento Anual'!D:D))</calculatedColumnFormula>
    </tableColumn>
    <tableColumn id="3" xr3:uid="{46CC2CE0-43C3-4EA1-BA37-A107D9A9FABE}" name="Realizado" dataDxfId="3">
      <calculatedColumnFormula>IF(A2="","",SUMIF(Realizado!D:D,A2,Realizado!E:E))</calculatedColumnFormula>
    </tableColumn>
    <tableColumn id="4" xr3:uid="{567A1F11-7FAC-4DBA-A639-C91616CCB8C1}" name="Diferença" dataDxfId="2">
      <calculatedColumnFormula>IF(A2="","",C2-B2)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91D6-2A83-4D5A-8F59-5D07684F4C16}">
  <dimension ref="A1:U12"/>
  <sheetViews>
    <sheetView showGridLines="0" workbookViewId="0">
      <selection activeCell="J20" sqref="J20"/>
    </sheetView>
  </sheetViews>
  <sheetFormatPr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1" t="s">
        <v>3</v>
      </c>
      <c r="I1" s="11"/>
      <c r="J1" s="11"/>
      <c r="K1" s="11"/>
      <c r="L1" s="11"/>
      <c r="M1" s="1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1"/>
      <c r="I2" s="11"/>
      <c r="J2" s="11"/>
      <c r="K2" s="11"/>
      <c r="L2" s="11"/>
      <c r="M2" s="1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1"/>
      <c r="I3" s="11"/>
      <c r="J3" s="11"/>
      <c r="K3" s="11"/>
      <c r="L3" s="11"/>
      <c r="M3" s="1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1"/>
      <c r="I4" s="11"/>
      <c r="J4" s="11"/>
      <c r="K4" s="11"/>
      <c r="L4" s="11"/>
      <c r="M4" s="11"/>
      <c r="N4" s="1"/>
      <c r="O4" s="1"/>
      <c r="P4" s="1"/>
      <c r="Q4" s="1"/>
      <c r="R4" s="1"/>
      <c r="S4" s="1"/>
      <c r="T4" s="1"/>
      <c r="U4" s="1"/>
    </row>
    <row r="5" spans="1:21" ht="15.75" x14ac:dyDescent="0.25">
      <c r="H5" s="12" t="s">
        <v>1</v>
      </c>
      <c r="I5" s="12"/>
      <c r="J5" s="12"/>
      <c r="K5" s="12"/>
      <c r="L5" s="12"/>
      <c r="M5" s="12"/>
    </row>
    <row r="9" spans="1:21" ht="33" x14ac:dyDescent="0.45">
      <c r="F9" s="13" t="s">
        <v>0</v>
      </c>
      <c r="G9" s="13"/>
      <c r="H9" s="13"/>
      <c r="I9" s="13"/>
      <c r="J9" s="13"/>
      <c r="K9" s="13"/>
      <c r="L9" s="13"/>
      <c r="M9" s="13"/>
      <c r="N9" s="13"/>
      <c r="O9" s="13"/>
    </row>
    <row r="12" spans="1:21" ht="20.25" x14ac:dyDescent="0.3">
      <c r="D12" s="14" t="s">
        <v>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</sheetData>
  <mergeCells count="4">
    <mergeCell ref="H1:M4"/>
    <mergeCell ref="H5:M5"/>
    <mergeCell ref="F9:O9"/>
    <mergeCell ref="D12:Q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12AB-342E-4526-81F3-6F1C1F411BAE}">
  <dimension ref="A1:AE26"/>
  <sheetViews>
    <sheetView showGridLines="0" tabSelected="1" workbookViewId="0">
      <selection activeCell="F26" sqref="F26"/>
    </sheetView>
  </sheetViews>
  <sheetFormatPr defaultRowHeight="15" x14ac:dyDescent="0.25"/>
  <cols>
    <col min="30" max="30" width="16.140625" bestFit="1" customWidth="1"/>
  </cols>
  <sheetData>
    <row r="1" spans="1:31" ht="18.75" x14ac:dyDescent="0.3">
      <c r="A1" s="20" t="s">
        <v>3</v>
      </c>
      <c r="B1" s="21"/>
      <c r="C1" s="21"/>
      <c r="D1" s="21"/>
      <c r="E1" s="21"/>
      <c r="F1" s="21"/>
    </row>
    <row r="2" spans="1:31" x14ac:dyDescent="0.25">
      <c r="A2" s="22" t="s">
        <v>39</v>
      </c>
      <c r="B2" s="22"/>
      <c r="C2" s="22"/>
      <c r="D2" s="22"/>
      <c r="E2" s="22"/>
      <c r="F2" s="22"/>
      <c r="AA2" t="s">
        <v>23</v>
      </c>
      <c r="AB2">
        <f>SUMIF(Realizado!C:C,"Receita",Realizado!E:E)</f>
        <v>200</v>
      </c>
      <c r="AD2" t="s">
        <v>11</v>
      </c>
      <c r="AE2">
        <f>SUMIF(Realizado!D:D,"Marketing",Realizado!E:E)</f>
        <v>0</v>
      </c>
    </row>
    <row r="3" spans="1:31" x14ac:dyDescent="0.25">
      <c r="A3" s="22" t="s">
        <v>40</v>
      </c>
      <c r="B3" s="22"/>
      <c r="C3" s="22"/>
      <c r="D3" s="22"/>
      <c r="E3" s="22"/>
      <c r="F3" s="22"/>
      <c r="AA3" t="s">
        <v>29</v>
      </c>
      <c r="AB3">
        <f>SUMIF(Realizado!C:C,"Despesa",Realizado!E:E)</f>
        <v>155</v>
      </c>
      <c r="AD3" t="s">
        <v>12</v>
      </c>
      <c r="AE3">
        <f>SUMIF(Realizado!D:D,"Salários",Realizado!E:E)</f>
        <v>0</v>
      </c>
    </row>
    <row r="4" spans="1:31" x14ac:dyDescent="0.25">
      <c r="AD4" t="s">
        <v>13</v>
      </c>
      <c r="AE4">
        <f>SUMIF(Realizado!D:D,"Aluguel",Realizado!E:E)</f>
        <v>0</v>
      </c>
    </row>
    <row r="5" spans="1:31" x14ac:dyDescent="0.25">
      <c r="AD5" t="s">
        <v>14</v>
      </c>
      <c r="AE5">
        <f>SUMIF(Realizado!D:D,"Internet",Realizado!E:E)</f>
        <v>75</v>
      </c>
    </row>
    <row r="6" spans="1:31" x14ac:dyDescent="0.25">
      <c r="B6" s="23" t="s">
        <v>41</v>
      </c>
      <c r="C6" s="23"/>
      <c r="D6" s="23"/>
      <c r="E6" s="23"/>
      <c r="G6" s="24" t="s">
        <v>42</v>
      </c>
      <c r="H6" s="24"/>
      <c r="I6" s="24"/>
      <c r="J6" s="24"/>
      <c r="L6" s="25" t="s">
        <v>43</v>
      </c>
      <c r="M6" s="25"/>
      <c r="N6" s="25"/>
      <c r="O6" s="25"/>
      <c r="Q6" s="15" t="s">
        <v>38</v>
      </c>
      <c r="R6" s="15"/>
      <c r="S6" s="15"/>
      <c r="T6" s="15"/>
      <c r="AD6" t="s">
        <v>15</v>
      </c>
      <c r="AE6">
        <f>SUMIF(Realizado!D:D,"Energia",Realizado!E:E)</f>
        <v>80</v>
      </c>
    </row>
    <row r="7" spans="1:31" x14ac:dyDescent="0.25">
      <c r="B7" s="10"/>
      <c r="C7" s="16">
        <f>SUM(Realizado!E:E)</f>
        <v>355</v>
      </c>
      <c r="D7" s="16"/>
      <c r="E7" s="10"/>
      <c r="G7" s="7"/>
      <c r="H7" s="17">
        <f>SUMIF(Realizado!C:C,"Despesa",Realizado!E:E)</f>
        <v>155</v>
      </c>
      <c r="I7" s="17"/>
      <c r="J7" s="7"/>
      <c r="L7" s="8"/>
      <c r="M7" s="18">
        <f>SUMIF(Realizado!C:C,"Receita",Realizado!E:E)-SUMIF(Realizado!C:C,"Despesa",Realizado!E:E)</f>
        <v>45</v>
      </c>
      <c r="N7" s="18"/>
      <c r="O7" s="8"/>
      <c r="Q7" s="9"/>
      <c r="R7" s="19">
        <f>IF(SUM('Orçamento Anual'!D:D)=0,"",SUM(Realizado!E:E)/SUM('Orçamento Anual'!D:D))</f>
        <v>0.4863013698630137</v>
      </c>
      <c r="S7" s="19"/>
      <c r="T7" s="9"/>
      <c r="AD7" t="s">
        <v>16</v>
      </c>
      <c r="AE7">
        <f>SUMIF(Realizado!D:D,"Impostos",Realizado!E:E)</f>
        <v>0</v>
      </c>
    </row>
    <row r="8" spans="1:31" x14ac:dyDescent="0.25">
      <c r="AD8" t="s">
        <v>17</v>
      </c>
      <c r="AE8">
        <f>SUMIF(Realizado!D:D,"Transporte",Realizado!E:E)</f>
        <v>0</v>
      </c>
    </row>
    <row r="9" spans="1:31" x14ac:dyDescent="0.25">
      <c r="AD9" t="s">
        <v>18</v>
      </c>
      <c r="AE9">
        <f>SUMIF(Realizado!D:D,"Fornecedores",Realizado!E:E)</f>
        <v>0</v>
      </c>
    </row>
    <row r="10" spans="1:31" x14ac:dyDescent="0.25">
      <c r="AD10" t="s">
        <v>33</v>
      </c>
      <c r="AE10">
        <f>SUMIF(Realizado!D:D,"Outras Despesas",Realizado!E:E)</f>
        <v>0</v>
      </c>
    </row>
    <row r="26" spans="6:6" x14ac:dyDescent="0.25">
      <c r="F26" t="s">
        <v>44</v>
      </c>
    </row>
  </sheetData>
  <mergeCells count="11">
    <mergeCell ref="A1:F1"/>
    <mergeCell ref="A2:F2"/>
    <mergeCell ref="A3:F3"/>
    <mergeCell ref="B6:E6"/>
    <mergeCell ref="G6:J6"/>
    <mergeCell ref="Q6:T6"/>
    <mergeCell ref="C7:D7"/>
    <mergeCell ref="H7:I7"/>
    <mergeCell ref="M7:N7"/>
    <mergeCell ref="R7:S7"/>
    <mergeCell ref="L6:O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B289-AE08-440A-80D3-15F817F64ECD}">
  <dimension ref="A1:D501"/>
  <sheetViews>
    <sheetView workbookViewId="0">
      <selection activeCell="B5" sqref="B5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9.42578125" bestFit="1" customWidth="1"/>
    <col min="4" max="4" width="17" bestFit="1" customWidth="1"/>
  </cols>
  <sheetData>
    <row r="1" spans="1:4" x14ac:dyDescent="0.25">
      <c r="A1" s="2" t="s">
        <v>19</v>
      </c>
      <c r="B1" s="2" t="s">
        <v>20</v>
      </c>
      <c r="C1" s="2" t="s">
        <v>21</v>
      </c>
      <c r="D1" s="2" t="s">
        <v>22</v>
      </c>
    </row>
    <row r="2" spans="1:4" x14ac:dyDescent="0.25">
      <c r="B2" t="s">
        <v>15</v>
      </c>
      <c r="C2" t="s">
        <v>29</v>
      </c>
      <c r="D2" s="6">
        <v>80</v>
      </c>
    </row>
    <row r="3" spans="1:4" x14ac:dyDescent="0.25">
      <c r="B3" t="s">
        <v>6</v>
      </c>
      <c r="C3" t="s">
        <v>23</v>
      </c>
      <c r="D3" s="6">
        <v>500</v>
      </c>
    </row>
    <row r="4" spans="1:4" x14ac:dyDescent="0.25">
      <c r="B4" t="s">
        <v>5</v>
      </c>
      <c r="C4" t="s">
        <v>23</v>
      </c>
      <c r="D4" s="6">
        <v>150</v>
      </c>
    </row>
    <row r="5" spans="1:4" x14ac:dyDescent="0.25">
      <c r="D5" s="6"/>
    </row>
    <row r="6" spans="1:4" x14ac:dyDescent="0.25">
      <c r="D6" s="6"/>
    </row>
    <row r="7" spans="1:4" x14ac:dyDescent="0.25">
      <c r="D7" s="6"/>
    </row>
    <row r="8" spans="1:4" x14ac:dyDescent="0.25">
      <c r="D8" s="6"/>
    </row>
    <row r="9" spans="1:4" x14ac:dyDescent="0.25">
      <c r="D9" s="6"/>
    </row>
    <row r="10" spans="1:4" x14ac:dyDescent="0.25">
      <c r="D10" s="6"/>
    </row>
    <row r="11" spans="1:4" x14ac:dyDescent="0.25">
      <c r="D11" s="6"/>
    </row>
    <row r="12" spans="1:4" x14ac:dyDescent="0.25">
      <c r="D12" s="6"/>
    </row>
    <row r="13" spans="1:4" x14ac:dyDescent="0.25">
      <c r="D13" s="6"/>
    </row>
    <row r="14" spans="1:4" x14ac:dyDescent="0.25">
      <c r="D14" s="6"/>
    </row>
    <row r="15" spans="1:4" x14ac:dyDescent="0.25">
      <c r="D15" s="6"/>
    </row>
    <row r="16" spans="1:4" x14ac:dyDescent="0.25">
      <c r="D16" s="6"/>
    </row>
    <row r="17" spans="4:4" x14ac:dyDescent="0.25">
      <c r="D17" s="6"/>
    </row>
    <row r="18" spans="4:4" x14ac:dyDescent="0.25">
      <c r="D18" s="6"/>
    </row>
    <row r="19" spans="4:4" x14ac:dyDescent="0.25">
      <c r="D19" s="6"/>
    </row>
    <row r="20" spans="4:4" x14ac:dyDescent="0.25">
      <c r="D20" s="6"/>
    </row>
    <row r="21" spans="4:4" x14ac:dyDescent="0.25">
      <c r="D21" s="6"/>
    </row>
    <row r="22" spans="4:4" x14ac:dyDescent="0.25">
      <c r="D22" s="6"/>
    </row>
    <row r="23" spans="4:4" x14ac:dyDescent="0.25">
      <c r="D23" s="6"/>
    </row>
    <row r="24" spans="4:4" x14ac:dyDescent="0.25">
      <c r="D24" s="6"/>
    </row>
    <row r="25" spans="4:4" x14ac:dyDescent="0.25">
      <c r="D25" s="6"/>
    </row>
    <row r="26" spans="4:4" x14ac:dyDescent="0.25">
      <c r="D26" s="6"/>
    </row>
    <row r="27" spans="4:4" x14ac:dyDescent="0.25">
      <c r="D27" s="6"/>
    </row>
    <row r="28" spans="4:4" x14ac:dyDescent="0.25">
      <c r="D28" s="6"/>
    </row>
    <row r="29" spans="4:4" x14ac:dyDescent="0.25">
      <c r="D29" s="6"/>
    </row>
    <row r="30" spans="4:4" x14ac:dyDescent="0.25">
      <c r="D30" s="6"/>
    </row>
    <row r="31" spans="4:4" x14ac:dyDescent="0.25">
      <c r="D31" s="6"/>
    </row>
    <row r="32" spans="4:4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  <row r="41" spans="4:4" x14ac:dyDescent="0.25">
      <c r="D41" s="6"/>
    </row>
    <row r="42" spans="4:4" x14ac:dyDescent="0.25">
      <c r="D42" s="6"/>
    </row>
    <row r="43" spans="4:4" x14ac:dyDescent="0.25">
      <c r="D43" s="6"/>
    </row>
    <row r="44" spans="4:4" x14ac:dyDescent="0.25">
      <c r="D44" s="6"/>
    </row>
    <row r="45" spans="4:4" x14ac:dyDescent="0.25">
      <c r="D45" s="6"/>
    </row>
    <row r="46" spans="4:4" x14ac:dyDescent="0.25">
      <c r="D46" s="6"/>
    </row>
    <row r="47" spans="4:4" x14ac:dyDescent="0.25">
      <c r="D47" s="6"/>
    </row>
    <row r="48" spans="4:4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  <row r="52" spans="4:4" x14ac:dyDescent="0.25">
      <c r="D52" s="6"/>
    </row>
    <row r="53" spans="4:4" x14ac:dyDescent="0.25">
      <c r="D53" s="6"/>
    </row>
    <row r="54" spans="4:4" x14ac:dyDescent="0.25">
      <c r="D54" s="6"/>
    </row>
    <row r="55" spans="4:4" x14ac:dyDescent="0.25">
      <c r="D55" s="6"/>
    </row>
    <row r="56" spans="4:4" x14ac:dyDescent="0.25">
      <c r="D56" s="6"/>
    </row>
    <row r="57" spans="4:4" x14ac:dyDescent="0.25">
      <c r="D57" s="6"/>
    </row>
    <row r="58" spans="4:4" x14ac:dyDescent="0.25">
      <c r="D58" s="6"/>
    </row>
    <row r="59" spans="4:4" x14ac:dyDescent="0.25">
      <c r="D59" s="6"/>
    </row>
    <row r="60" spans="4:4" x14ac:dyDescent="0.25">
      <c r="D60" s="6"/>
    </row>
    <row r="61" spans="4:4" x14ac:dyDescent="0.25">
      <c r="D61" s="6"/>
    </row>
    <row r="62" spans="4:4" x14ac:dyDescent="0.25">
      <c r="D62" s="6"/>
    </row>
    <row r="63" spans="4:4" x14ac:dyDescent="0.25">
      <c r="D63" s="6"/>
    </row>
    <row r="64" spans="4:4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  <row r="96" spans="4:4" x14ac:dyDescent="0.25">
      <c r="D96" s="6"/>
    </row>
    <row r="97" spans="4:4" x14ac:dyDescent="0.25">
      <c r="D97" s="6"/>
    </row>
    <row r="98" spans="4:4" x14ac:dyDescent="0.25">
      <c r="D98" s="6"/>
    </row>
    <row r="99" spans="4:4" x14ac:dyDescent="0.25">
      <c r="D99" s="6"/>
    </row>
    <row r="100" spans="4:4" x14ac:dyDescent="0.25">
      <c r="D100" s="6"/>
    </row>
    <row r="101" spans="4:4" x14ac:dyDescent="0.25">
      <c r="D101" s="6"/>
    </row>
    <row r="102" spans="4:4" x14ac:dyDescent="0.25">
      <c r="D102" s="6"/>
    </row>
    <row r="103" spans="4:4" x14ac:dyDescent="0.25">
      <c r="D103" s="6"/>
    </row>
    <row r="104" spans="4:4" x14ac:dyDescent="0.25">
      <c r="D104" s="6"/>
    </row>
    <row r="105" spans="4:4" x14ac:dyDescent="0.25">
      <c r="D105" s="6"/>
    </row>
    <row r="106" spans="4:4" x14ac:dyDescent="0.25">
      <c r="D106" s="6"/>
    </row>
    <row r="107" spans="4:4" x14ac:dyDescent="0.25">
      <c r="D107" s="6"/>
    </row>
    <row r="108" spans="4:4" x14ac:dyDescent="0.25">
      <c r="D108" s="6"/>
    </row>
    <row r="109" spans="4:4" x14ac:dyDescent="0.25">
      <c r="D109" s="6"/>
    </row>
    <row r="110" spans="4:4" x14ac:dyDescent="0.25">
      <c r="D110" s="6"/>
    </row>
    <row r="111" spans="4:4" x14ac:dyDescent="0.25">
      <c r="D111" s="6"/>
    </row>
    <row r="112" spans="4:4" x14ac:dyDescent="0.25">
      <c r="D112" s="6"/>
    </row>
    <row r="113" spans="4:4" x14ac:dyDescent="0.25">
      <c r="D113" s="6"/>
    </row>
    <row r="114" spans="4:4" x14ac:dyDescent="0.25">
      <c r="D114" s="6"/>
    </row>
    <row r="115" spans="4:4" x14ac:dyDescent="0.25">
      <c r="D115" s="6"/>
    </row>
    <row r="116" spans="4:4" x14ac:dyDescent="0.25">
      <c r="D116" s="6"/>
    </row>
    <row r="117" spans="4:4" x14ac:dyDescent="0.25">
      <c r="D117" s="6"/>
    </row>
    <row r="118" spans="4:4" x14ac:dyDescent="0.25">
      <c r="D118" s="6"/>
    </row>
    <row r="119" spans="4:4" x14ac:dyDescent="0.25">
      <c r="D119" s="6"/>
    </row>
    <row r="120" spans="4:4" x14ac:dyDescent="0.25">
      <c r="D120" s="6"/>
    </row>
    <row r="121" spans="4:4" x14ac:dyDescent="0.25">
      <c r="D121" s="6"/>
    </row>
    <row r="122" spans="4:4" x14ac:dyDescent="0.25">
      <c r="D122" s="6"/>
    </row>
    <row r="123" spans="4:4" x14ac:dyDescent="0.25">
      <c r="D123" s="6"/>
    </row>
    <row r="124" spans="4:4" x14ac:dyDescent="0.25">
      <c r="D124" s="6"/>
    </row>
    <row r="125" spans="4:4" x14ac:dyDescent="0.25">
      <c r="D125" s="6"/>
    </row>
    <row r="126" spans="4:4" x14ac:dyDescent="0.25">
      <c r="D126" s="6"/>
    </row>
    <row r="127" spans="4:4" x14ac:dyDescent="0.25">
      <c r="D127" s="6"/>
    </row>
    <row r="128" spans="4:4" x14ac:dyDescent="0.25">
      <c r="D128" s="6"/>
    </row>
    <row r="129" spans="4:4" x14ac:dyDescent="0.25">
      <c r="D129" s="6"/>
    </row>
    <row r="130" spans="4:4" x14ac:dyDescent="0.25">
      <c r="D130" s="6"/>
    </row>
    <row r="131" spans="4:4" x14ac:dyDescent="0.25">
      <c r="D131" s="6"/>
    </row>
    <row r="132" spans="4:4" x14ac:dyDescent="0.25">
      <c r="D132" s="6"/>
    </row>
    <row r="133" spans="4:4" x14ac:dyDescent="0.25">
      <c r="D133" s="6"/>
    </row>
    <row r="134" spans="4:4" x14ac:dyDescent="0.25">
      <c r="D134" s="6"/>
    </row>
    <row r="135" spans="4:4" x14ac:dyDescent="0.25">
      <c r="D135" s="6"/>
    </row>
    <row r="136" spans="4:4" x14ac:dyDescent="0.25">
      <c r="D136" s="6"/>
    </row>
    <row r="137" spans="4:4" x14ac:dyDescent="0.25">
      <c r="D137" s="6"/>
    </row>
    <row r="138" spans="4:4" x14ac:dyDescent="0.25">
      <c r="D138" s="6"/>
    </row>
    <row r="139" spans="4:4" x14ac:dyDescent="0.25">
      <c r="D139" s="6"/>
    </row>
    <row r="140" spans="4:4" x14ac:dyDescent="0.25">
      <c r="D140" s="6"/>
    </row>
    <row r="141" spans="4:4" x14ac:dyDescent="0.25">
      <c r="D141" s="6"/>
    </row>
    <row r="142" spans="4:4" x14ac:dyDescent="0.25">
      <c r="D142" s="6"/>
    </row>
    <row r="143" spans="4:4" x14ac:dyDescent="0.25">
      <c r="D143" s="6"/>
    </row>
    <row r="144" spans="4:4" x14ac:dyDescent="0.25">
      <c r="D144" s="6"/>
    </row>
    <row r="145" spans="4:4" x14ac:dyDescent="0.25">
      <c r="D145" s="6"/>
    </row>
    <row r="146" spans="4:4" x14ac:dyDescent="0.25">
      <c r="D146" s="6"/>
    </row>
    <row r="147" spans="4:4" x14ac:dyDescent="0.25">
      <c r="D147" s="6"/>
    </row>
    <row r="148" spans="4:4" x14ac:dyDescent="0.25">
      <c r="D148" s="6"/>
    </row>
    <row r="149" spans="4:4" x14ac:dyDescent="0.25">
      <c r="D149" s="6"/>
    </row>
    <row r="150" spans="4:4" x14ac:dyDescent="0.25">
      <c r="D150" s="6"/>
    </row>
    <row r="151" spans="4:4" x14ac:dyDescent="0.25">
      <c r="D151" s="6"/>
    </row>
    <row r="152" spans="4:4" x14ac:dyDescent="0.25">
      <c r="D152" s="6"/>
    </row>
    <row r="153" spans="4:4" x14ac:dyDescent="0.25">
      <c r="D153" s="6"/>
    </row>
    <row r="154" spans="4:4" x14ac:dyDescent="0.25">
      <c r="D154" s="6"/>
    </row>
    <row r="155" spans="4:4" x14ac:dyDescent="0.25">
      <c r="D155" s="6"/>
    </row>
    <row r="156" spans="4:4" x14ac:dyDescent="0.25">
      <c r="D156" s="6"/>
    </row>
    <row r="157" spans="4:4" x14ac:dyDescent="0.25">
      <c r="D157" s="6"/>
    </row>
    <row r="158" spans="4:4" x14ac:dyDescent="0.25">
      <c r="D158" s="6"/>
    </row>
    <row r="159" spans="4:4" x14ac:dyDescent="0.25">
      <c r="D159" s="6"/>
    </row>
    <row r="160" spans="4:4" x14ac:dyDescent="0.25">
      <c r="D160" s="6"/>
    </row>
    <row r="161" spans="4:4" x14ac:dyDescent="0.25">
      <c r="D161" s="6"/>
    </row>
    <row r="162" spans="4:4" x14ac:dyDescent="0.25">
      <c r="D162" s="6"/>
    </row>
    <row r="163" spans="4:4" x14ac:dyDescent="0.25">
      <c r="D163" s="6"/>
    </row>
    <row r="164" spans="4:4" x14ac:dyDescent="0.25">
      <c r="D164" s="6"/>
    </row>
    <row r="165" spans="4:4" x14ac:dyDescent="0.25">
      <c r="D165" s="6"/>
    </row>
    <row r="166" spans="4:4" x14ac:dyDescent="0.25">
      <c r="D166" s="6"/>
    </row>
    <row r="167" spans="4:4" x14ac:dyDescent="0.25">
      <c r="D167" s="6"/>
    </row>
    <row r="168" spans="4:4" x14ac:dyDescent="0.25">
      <c r="D168" s="6"/>
    </row>
    <row r="169" spans="4:4" x14ac:dyDescent="0.25">
      <c r="D169" s="6"/>
    </row>
    <row r="170" spans="4:4" x14ac:dyDescent="0.25">
      <c r="D170" s="6"/>
    </row>
    <row r="171" spans="4:4" x14ac:dyDescent="0.25">
      <c r="D171" s="6"/>
    </row>
    <row r="172" spans="4:4" x14ac:dyDescent="0.25">
      <c r="D172" s="6"/>
    </row>
    <row r="173" spans="4:4" x14ac:dyDescent="0.25">
      <c r="D173" s="6"/>
    </row>
    <row r="174" spans="4:4" x14ac:dyDescent="0.25">
      <c r="D174" s="6"/>
    </row>
    <row r="175" spans="4:4" x14ac:dyDescent="0.25">
      <c r="D175" s="6"/>
    </row>
    <row r="176" spans="4:4" x14ac:dyDescent="0.25">
      <c r="D176" s="6"/>
    </row>
    <row r="177" spans="4:4" x14ac:dyDescent="0.25">
      <c r="D177" s="6"/>
    </row>
    <row r="178" spans="4:4" x14ac:dyDescent="0.25">
      <c r="D178" s="6"/>
    </row>
    <row r="179" spans="4:4" x14ac:dyDescent="0.25">
      <c r="D179" s="6"/>
    </row>
    <row r="180" spans="4:4" x14ac:dyDescent="0.25">
      <c r="D180" s="6"/>
    </row>
    <row r="181" spans="4:4" x14ac:dyDescent="0.25">
      <c r="D181" s="6"/>
    </row>
    <row r="182" spans="4:4" x14ac:dyDescent="0.25">
      <c r="D182" s="6"/>
    </row>
    <row r="183" spans="4:4" x14ac:dyDescent="0.25">
      <c r="D183" s="6"/>
    </row>
    <row r="184" spans="4:4" x14ac:dyDescent="0.25">
      <c r="D184" s="6"/>
    </row>
    <row r="185" spans="4:4" x14ac:dyDescent="0.25">
      <c r="D185" s="6"/>
    </row>
    <row r="186" spans="4:4" x14ac:dyDescent="0.25">
      <c r="D186" s="6"/>
    </row>
    <row r="187" spans="4:4" x14ac:dyDescent="0.25">
      <c r="D187" s="6"/>
    </row>
    <row r="188" spans="4:4" x14ac:dyDescent="0.25">
      <c r="D188" s="6"/>
    </row>
    <row r="189" spans="4:4" x14ac:dyDescent="0.25">
      <c r="D189" s="6"/>
    </row>
    <row r="190" spans="4:4" x14ac:dyDescent="0.25">
      <c r="D190" s="6"/>
    </row>
    <row r="191" spans="4:4" x14ac:dyDescent="0.25">
      <c r="D191" s="6"/>
    </row>
    <row r="192" spans="4:4" x14ac:dyDescent="0.25">
      <c r="D192" s="6"/>
    </row>
    <row r="193" spans="4:4" x14ac:dyDescent="0.25">
      <c r="D193" s="6"/>
    </row>
    <row r="194" spans="4:4" x14ac:dyDescent="0.25">
      <c r="D194" s="6"/>
    </row>
    <row r="195" spans="4:4" x14ac:dyDescent="0.25">
      <c r="D195" s="6"/>
    </row>
    <row r="196" spans="4:4" x14ac:dyDescent="0.25">
      <c r="D196" s="6"/>
    </row>
    <row r="197" spans="4:4" x14ac:dyDescent="0.25">
      <c r="D197" s="6"/>
    </row>
    <row r="198" spans="4:4" x14ac:dyDescent="0.25">
      <c r="D198" s="6"/>
    </row>
    <row r="199" spans="4:4" x14ac:dyDescent="0.25">
      <c r="D199" s="6"/>
    </row>
    <row r="200" spans="4:4" x14ac:dyDescent="0.25">
      <c r="D200" s="6"/>
    </row>
    <row r="201" spans="4:4" x14ac:dyDescent="0.25">
      <c r="D201" s="6"/>
    </row>
    <row r="202" spans="4:4" x14ac:dyDescent="0.25">
      <c r="D202" s="6"/>
    </row>
    <row r="203" spans="4:4" x14ac:dyDescent="0.25">
      <c r="D203" s="6"/>
    </row>
    <row r="204" spans="4:4" x14ac:dyDescent="0.25">
      <c r="D204" s="6"/>
    </row>
    <row r="205" spans="4:4" x14ac:dyDescent="0.25">
      <c r="D205" s="6"/>
    </row>
    <row r="206" spans="4:4" x14ac:dyDescent="0.25">
      <c r="D206" s="6"/>
    </row>
    <row r="207" spans="4:4" x14ac:dyDescent="0.25">
      <c r="D207" s="6"/>
    </row>
    <row r="208" spans="4:4" x14ac:dyDescent="0.25">
      <c r="D208" s="6"/>
    </row>
    <row r="209" spans="4:4" x14ac:dyDescent="0.25">
      <c r="D209" s="6"/>
    </row>
    <row r="210" spans="4:4" x14ac:dyDescent="0.25">
      <c r="D210" s="6"/>
    </row>
    <row r="211" spans="4:4" x14ac:dyDescent="0.25">
      <c r="D211" s="6"/>
    </row>
    <row r="212" spans="4:4" x14ac:dyDescent="0.25">
      <c r="D212" s="6"/>
    </row>
    <row r="213" spans="4:4" x14ac:dyDescent="0.25">
      <c r="D213" s="6"/>
    </row>
    <row r="214" spans="4:4" x14ac:dyDescent="0.25">
      <c r="D214" s="6"/>
    </row>
    <row r="215" spans="4:4" x14ac:dyDescent="0.25">
      <c r="D215" s="6"/>
    </row>
    <row r="216" spans="4:4" x14ac:dyDescent="0.25">
      <c r="D216" s="6"/>
    </row>
    <row r="217" spans="4:4" x14ac:dyDescent="0.25">
      <c r="D217" s="6"/>
    </row>
    <row r="218" spans="4:4" x14ac:dyDescent="0.25">
      <c r="D218" s="6"/>
    </row>
    <row r="219" spans="4:4" x14ac:dyDescent="0.25">
      <c r="D219" s="6"/>
    </row>
    <row r="220" spans="4:4" x14ac:dyDescent="0.25">
      <c r="D220" s="6"/>
    </row>
    <row r="221" spans="4:4" x14ac:dyDescent="0.25">
      <c r="D221" s="6"/>
    </row>
    <row r="222" spans="4:4" x14ac:dyDescent="0.25">
      <c r="D222" s="6"/>
    </row>
    <row r="223" spans="4:4" x14ac:dyDescent="0.25">
      <c r="D223" s="6"/>
    </row>
    <row r="224" spans="4:4" x14ac:dyDescent="0.25">
      <c r="D224" s="6"/>
    </row>
    <row r="225" spans="4:4" x14ac:dyDescent="0.25">
      <c r="D225" s="6"/>
    </row>
    <row r="226" spans="4:4" x14ac:dyDescent="0.25">
      <c r="D226" s="6"/>
    </row>
    <row r="227" spans="4:4" x14ac:dyDescent="0.25">
      <c r="D227" s="6"/>
    </row>
    <row r="228" spans="4:4" x14ac:dyDescent="0.25">
      <c r="D228" s="6"/>
    </row>
    <row r="229" spans="4:4" x14ac:dyDescent="0.25">
      <c r="D229" s="6"/>
    </row>
    <row r="230" spans="4:4" x14ac:dyDescent="0.25">
      <c r="D230" s="6"/>
    </row>
    <row r="231" spans="4:4" x14ac:dyDescent="0.25">
      <c r="D231" s="6"/>
    </row>
    <row r="232" spans="4:4" x14ac:dyDescent="0.25">
      <c r="D232" s="6"/>
    </row>
    <row r="233" spans="4:4" x14ac:dyDescent="0.25">
      <c r="D233" s="6"/>
    </row>
    <row r="234" spans="4:4" x14ac:dyDescent="0.25">
      <c r="D234" s="6"/>
    </row>
    <row r="235" spans="4:4" x14ac:dyDescent="0.25">
      <c r="D235" s="6"/>
    </row>
    <row r="236" spans="4:4" x14ac:dyDescent="0.25">
      <c r="D236" s="6"/>
    </row>
    <row r="237" spans="4:4" x14ac:dyDescent="0.25">
      <c r="D237" s="6"/>
    </row>
    <row r="238" spans="4:4" x14ac:dyDescent="0.25">
      <c r="D238" s="6"/>
    </row>
    <row r="239" spans="4:4" x14ac:dyDescent="0.25">
      <c r="D239" s="6"/>
    </row>
    <row r="240" spans="4:4" x14ac:dyDescent="0.25">
      <c r="D240" s="6"/>
    </row>
    <row r="241" spans="4:4" x14ac:dyDescent="0.25">
      <c r="D241" s="6"/>
    </row>
    <row r="242" spans="4:4" x14ac:dyDescent="0.25">
      <c r="D242" s="6"/>
    </row>
    <row r="243" spans="4:4" x14ac:dyDescent="0.25">
      <c r="D243" s="6"/>
    </row>
    <row r="244" spans="4:4" x14ac:dyDescent="0.25">
      <c r="D244" s="6"/>
    </row>
    <row r="245" spans="4:4" x14ac:dyDescent="0.25">
      <c r="D245" s="6"/>
    </row>
    <row r="246" spans="4:4" x14ac:dyDescent="0.25">
      <c r="D246" s="6"/>
    </row>
    <row r="247" spans="4:4" x14ac:dyDescent="0.25">
      <c r="D247" s="6"/>
    </row>
    <row r="248" spans="4:4" x14ac:dyDescent="0.25">
      <c r="D248" s="6"/>
    </row>
    <row r="249" spans="4:4" x14ac:dyDescent="0.25">
      <c r="D249" s="6"/>
    </row>
    <row r="250" spans="4:4" x14ac:dyDescent="0.25">
      <c r="D250" s="6"/>
    </row>
    <row r="251" spans="4:4" x14ac:dyDescent="0.25">
      <c r="D251" s="6"/>
    </row>
    <row r="252" spans="4:4" x14ac:dyDescent="0.25">
      <c r="D252" s="6"/>
    </row>
    <row r="253" spans="4:4" x14ac:dyDescent="0.25">
      <c r="D253" s="6"/>
    </row>
    <row r="254" spans="4:4" x14ac:dyDescent="0.25">
      <c r="D254" s="6"/>
    </row>
    <row r="255" spans="4:4" x14ac:dyDescent="0.25">
      <c r="D255" s="6"/>
    </row>
    <row r="256" spans="4:4" x14ac:dyDescent="0.25">
      <c r="D256" s="6"/>
    </row>
    <row r="257" spans="4:4" x14ac:dyDescent="0.25">
      <c r="D257" s="6"/>
    </row>
    <row r="258" spans="4:4" x14ac:dyDescent="0.25">
      <c r="D258" s="6"/>
    </row>
    <row r="259" spans="4:4" x14ac:dyDescent="0.25">
      <c r="D259" s="6"/>
    </row>
    <row r="260" spans="4:4" x14ac:dyDescent="0.25">
      <c r="D260" s="6"/>
    </row>
    <row r="261" spans="4:4" x14ac:dyDescent="0.25">
      <c r="D261" s="6"/>
    </row>
    <row r="262" spans="4:4" x14ac:dyDescent="0.25">
      <c r="D262" s="6"/>
    </row>
    <row r="263" spans="4:4" x14ac:dyDescent="0.25">
      <c r="D263" s="6"/>
    </row>
    <row r="264" spans="4:4" x14ac:dyDescent="0.25">
      <c r="D264" s="6"/>
    </row>
    <row r="265" spans="4:4" x14ac:dyDescent="0.25">
      <c r="D265" s="6"/>
    </row>
    <row r="266" spans="4:4" x14ac:dyDescent="0.25">
      <c r="D266" s="6"/>
    </row>
    <row r="267" spans="4:4" x14ac:dyDescent="0.25">
      <c r="D267" s="6"/>
    </row>
    <row r="268" spans="4:4" x14ac:dyDescent="0.25">
      <c r="D268" s="6"/>
    </row>
    <row r="269" spans="4:4" x14ac:dyDescent="0.25">
      <c r="D269" s="6"/>
    </row>
    <row r="270" spans="4:4" x14ac:dyDescent="0.25">
      <c r="D270" s="6"/>
    </row>
    <row r="271" spans="4:4" x14ac:dyDescent="0.25">
      <c r="D271" s="6"/>
    </row>
    <row r="272" spans="4:4" x14ac:dyDescent="0.25">
      <c r="D272" s="6"/>
    </row>
    <row r="273" spans="4:4" x14ac:dyDescent="0.25">
      <c r="D273" s="6"/>
    </row>
    <row r="274" spans="4:4" x14ac:dyDescent="0.25">
      <c r="D274" s="6"/>
    </row>
    <row r="275" spans="4:4" x14ac:dyDescent="0.25">
      <c r="D275" s="6"/>
    </row>
    <row r="276" spans="4:4" x14ac:dyDescent="0.25">
      <c r="D276" s="6"/>
    </row>
    <row r="277" spans="4:4" x14ac:dyDescent="0.25">
      <c r="D277" s="6"/>
    </row>
    <row r="278" spans="4:4" x14ac:dyDescent="0.25">
      <c r="D278" s="6"/>
    </row>
    <row r="279" spans="4:4" x14ac:dyDescent="0.25">
      <c r="D279" s="6"/>
    </row>
    <row r="280" spans="4:4" x14ac:dyDescent="0.25">
      <c r="D280" s="6"/>
    </row>
    <row r="281" spans="4:4" x14ac:dyDescent="0.25">
      <c r="D281" s="6"/>
    </row>
    <row r="282" spans="4:4" x14ac:dyDescent="0.25">
      <c r="D282" s="6"/>
    </row>
    <row r="283" spans="4:4" x14ac:dyDescent="0.25">
      <c r="D283" s="6"/>
    </row>
    <row r="284" spans="4:4" x14ac:dyDescent="0.25">
      <c r="D284" s="6"/>
    </row>
    <row r="285" spans="4:4" x14ac:dyDescent="0.25">
      <c r="D285" s="6"/>
    </row>
    <row r="286" spans="4:4" x14ac:dyDescent="0.25">
      <c r="D286" s="6"/>
    </row>
    <row r="287" spans="4:4" x14ac:dyDescent="0.25">
      <c r="D287" s="6"/>
    </row>
    <row r="288" spans="4:4" x14ac:dyDescent="0.25">
      <c r="D288" s="6"/>
    </row>
    <row r="289" spans="4:4" x14ac:dyDescent="0.25">
      <c r="D289" s="6"/>
    </row>
    <row r="290" spans="4:4" x14ac:dyDescent="0.25">
      <c r="D290" s="6"/>
    </row>
    <row r="291" spans="4:4" x14ac:dyDescent="0.25">
      <c r="D291" s="6"/>
    </row>
    <row r="292" spans="4:4" x14ac:dyDescent="0.25">
      <c r="D292" s="6"/>
    </row>
    <row r="293" spans="4:4" x14ac:dyDescent="0.25">
      <c r="D293" s="6"/>
    </row>
    <row r="294" spans="4:4" x14ac:dyDescent="0.25">
      <c r="D294" s="6"/>
    </row>
    <row r="295" spans="4:4" x14ac:dyDescent="0.25">
      <c r="D295" s="6"/>
    </row>
    <row r="296" spans="4:4" x14ac:dyDescent="0.25">
      <c r="D296" s="6"/>
    </row>
    <row r="297" spans="4:4" x14ac:dyDescent="0.25">
      <c r="D297" s="6"/>
    </row>
    <row r="298" spans="4:4" x14ac:dyDescent="0.25">
      <c r="D298" s="6"/>
    </row>
    <row r="299" spans="4:4" x14ac:dyDescent="0.25">
      <c r="D299" s="6"/>
    </row>
    <row r="300" spans="4:4" x14ac:dyDescent="0.25">
      <c r="D300" s="6"/>
    </row>
    <row r="301" spans="4:4" x14ac:dyDescent="0.25">
      <c r="D301" s="6"/>
    </row>
    <row r="302" spans="4:4" x14ac:dyDescent="0.25">
      <c r="D302" s="6"/>
    </row>
    <row r="303" spans="4:4" x14ac:dyDescent="0.25">
      <c r="D303" s="6"/>
    </row>
    <row r="304" spans="4:4" x14ac:dyDescent="0.25">
      <c r="D304" s="6"/>
    </row>
    <row r="305" spans="4:4" x14ac:dyDescent="0.25">
      <c r="D305" s="6"/>
    </row>
    <row r="306" spans="4:4" x14ac:dyDescent="0.25">
      <c r="D306" s="6"/>
    </row>
    <row r="307" spans="4:4" x14ac:dyDescent="0.25">
      <c r="D307" s="6"/>
    </row>
    <row r="308" spans="4:4" x14ac:dyDescent="0.25">
      <c r="D308" s="6"/>
    </row>
    <row r="309" spans="4:4" x14ac:dyDescent="0.25">
      <c r="D309" s="6"/>
    </row>
    <row r="310" spans="4:4" x14ac:dyDescent="0.25">
      <c r="D310" s="6"/>
    </row>
    <row r="311" spans="4:4" x14ac:dyDescent="0.25">
      <c r="D311" s="6"/>
    </row>
    <row r="312" spans="4:4" x14ac:dyDescent="0.25">
      <c r="D312" s="6"/>
    </row>
    <row r="313" spans="4:4" x14ac:dyDescent="0.25">
      <c r="D313" s="6"/>
    </row>
    <row r="314" spans="4:4" x14ac:dyDescent="0.25">
      <c r="D314" s="6"/>
    </row>
    <row r="315" spans="4:4" x14ac:dyDescent="0.25">
      <c r="D315" s="6"/>
    </row>
    <row r="316" spans="4:4" x14ac:dyDescent="0.25">
      <c r="D316" s="6"/>
    </row>
    <row r="317" spans="4:4" x14ac:dyDescent="0.25">
      <c r="D317" s="6"/>
    </row>
    <row r="318" spans="4:4" x14ac:dyDescent="0.25">
      <c r="D318" s="6"/>
    </row>
    <row r="319" spans="4:4" x14ac:dyDescent="0.25">
      <c r="D319" s="6"/>
    </row>
    <row r="320" spans="4:4" x14ac:dyDescent="0.25">
      <c r="D320" s="6"/>
    </row>
    <row r="321" spans="4:4" x14ac:dyDescent="0.25">
      <c r="D321" s="6"/>
    </row>
    <row r="322" spans="4:4" x14ac:dyDescent="0.25">
      <c r="D322" s="6"/>
    </row>
    <row r="323" spans="4:4" x14ac:dyDescent="0.25">
      <c r="D323" s="6"/>
    </row>
    <row r="324" spans="4:4" x14ac:dyDescent="0.25">
      <c r="D324" s="6"/>
    </row>
    <row r="325" spans="4:4" x14ac:dyDescent="0.25">
      <c r="D325" s="6"/>
    </row>
    <row r="326" spans="4:4" x14ac:dyDescent="0.25">
      <c r="D326" s="6"/>
    </row>
    <row r="327" spans="4:4" x14ac:dyDescent="0.25">
      <c r="D327" s="6"/>
    </row>
    <row r="328" spans="4:4" x14ac:dyDescent="0.25">
      <c r="D328" s="6"/>
    </row>
    <row r="329" spans="4:4" x14ac:dyDescent="0.25">
      <c r="D329" s="6"/>
    </row>
    <row r="330" spans="4:4" x14ac:dyDescent="0.25">
      <c r="D330" s="6"/>
    </row>
    <row r="331" spans="4:4" x14ac:dyDescent="0.25">
      <c r="D331" s="6"/>
    </row>
    <row r="332" spans="4:4" x14ac:dyDescent="0.25">
      <c r="D332" s="6"/>
    </row>
    <row r="333" spans="4:4" x14ac:dyDescent="0.25">
      <c r="D333" s="6"/>
    </row>
    <row r="334" spans="4:4" x14ac:dyDescent="0.25">
      <c r="D334" s="6"/>
    </row>
    <row r="335" spans="4:4" x14ac:dyDescent="0.25">
      <c r="D335" s="6"/>
    </row>
    <row r="336" spans="4:4" x14ac:dyDescent="0.25">
      <c r="D336" s="6"/>
    </row>
    <row r="337" spans="4:4" x14ac:dyDescent="0.25">
      <c r="D337" s="6"/>
    </row>
    <row r="338" spans="4:4" x14ac:dyDescent="0.25">
      <c r="D338" s="6"/>
    </row>
    <row r="339" spans="4:4" x14ac:dyDescent="0.25">
      <c r="D339" s="6"/>
    </row>
    <row r="340" spans="4:4" x14ac:dyDescent="0.25">
      <c r="D340" s="6"/>
    </row>
    <row r="341" spans="4:4" x14ac:dyDescent="0.25">
      <c r="D341" s="6"/>
    </row>
    <row r="342" spans="4:4" x14ac:dyDescent="0.25">
      <c r="D342" s="6"/>
    </row>
    <row r="343" spans="4:4" x14ac:dyDescent="0.25">
      <c r="D343" s="6"/>
    </row>
    <row r="344" spans="4:4" x14ac:dyDescent="0.25">
      <c r="D344" s="6"/>
    </row>
    <row r="345" spans="4:4" x14ac:dyDescent="0.25">
      <c r="D345" s="6"/>
    </row>
    <row r="346" spans="4:4" x14ac:dyDescent="0.25">
      <c r="D346" s="6"/>
    </row>
    <row r="347" spans="4:4" x14ac:dyDescent="0.25">
      <c r="D347" s="6"/>
    </row>
    <row r="348" spans="4:4" x14ac:dyDescent="0.25">
      <c r="D348" s="6"/>
    </row>
    <row r="349" spans="4:4" x14ac:dyDescent="0.25">
      <c r="D349" s="6"/>
    </row>
    <row r="350" spans="4:4" x14ac:dyDescent="0.25">
      <c r="D350" s="6"/>
    </row>
    <row r="351" spans="4:4" x14ac:dyDescent="0.25">
      <c r="D351" s="6"/>
    </row>
    <row r="352" spans="4:4" x14ac:dyDescent="0.25">
      <c r="D352" s="6"/>
    </row>
    <row r="353" spans="4:4" x14ac:dyDescent="0.25">
      <c r="D353" s="6"/>
    </row>
    <row r="354" spans="4:4" x14ac:dyDescent="0.25">
      <c r="D354" s="6"/>
    </row>
    <row r="355" spans="4:4" x14ac:dyDescent="0.25">
      <c r="D355" s="6"/>
    </row>
    <row r="356" spans="4:4" x14ac:dyDescent="0.25">
      <c r="D356" s="6"/>
    </row>
    <row r="357" spans="4:4" x14ac:dyDescent="0.25">
      <c r="D357" s="6"/>
    </row>
    <row r="358" spans="4:4" x14ac:dyDescent="0.25">
      <c r="D358" s="6"/>
    </row>
    <row r="359" spans="4:4" x14ac:dyDescent="0.25">
      <c r="D359" s="6"/>
    </row>
    <row r="360" spans="4:4" x14ac:dyDescent="0.25">
      <c r="D360" s="6"/>
    </row>
    <row r="361" spans="4:4" x14ac:dyDescent="0.25">
      <c r="D361" s="6"/>
    </row>
    <row r="362" spans="4:4" x14ac:dyDescent="0.25">
      <c r="D362" s="6"/>
    </row>
    <row r="363" spans="4:4" x14ac:dyDescent="0.25">
      <c r="D363" s="6"/>
    </row>
    <row r="364" spans="4:4" x14ac:dyDescent="0.25">
      <c r="D364" s="6"/>
    </row>
    <row r="365" spans="4:4" x14ac:dyDescent="0.25">
      <c r="D365" s="6"/>
    </row>
    <row r="366" spans="4:4" x14ac:dyDescent="0.25">
      <c r="D366" s="6"/>
    </row>
    <row r="367" spans="4:4" x14ac:dyDescent="0.25">
      <c r="D367" s="6"/>
    </row>
    <row r="368" spans="4:4" x14ac:dyDescent="0.25">
      <c r="D368" s="6"/>
    </row>
    <row r="369" spans="4:4" x14ac:dyDescent="0.25">
      <c r="D369" s="6"/>
    </row>
    <row r="370" spans="4:4" x14ac:dyDescent="0.25">
      <c r="D370" s="6"/>
    </row>
    <row r="371" spans="4:4" x14ac:dyDescent="0.25">
      <c r="D371" s="6"/>
    </row>
    <row r="372" spans="4:4" x14ac:dyDescent="0.25">
      <c r="D372" s="6"/>
    </row>
    <row r="373" spans="4:4" x14ac:dyDescent="0.25">
      <c r="D373" s="6"/>
    </row>
    <row r="374" spans="4:4" x14ac:dyDescent="0.25">
      <c r="D374" s="6"/>
    </row>
    <row r="375" spans="4:4" x14ac:dyDescent="0.25">
      <c r="D375" s="6"/>
    </row>
    <row r="376" spans="4:4" x14ac:dyDescent="0.25">
      <c r="D376" s="6"/>
    </row>
    <row r="377" spans="4:4" x14ac:dyDescent="0.25">
      <c r="D377" s="6"/>
    </row>
    <row r="378" spans="4:4" x14ac:dyDescent="0.25">
      <c r="D378" s="6"/>
    </row>
    <row r="379" spans="4:4" x14ac:dyDescent="0.25">
      <c r="D379" s="6"/>
    </row>
    <row r="380" spans="4:4" x14ac:dyDescent="0.25">
      <c r="D380" s="6"/>
    </row>
    <row r="381" spans="4:4" x14ac:dyDescent="0.25">
      <c r="D381" s="6"/>
    </row>
    <row r="382" spans="4:4" x14ac:dyDescent="0.25">
      <c r="D382" s="6"/>
    </row>
    <row r="383" spans="4:4" x14ac:dyDescent="0.25">
      <c r="D383" s="6"/>
    </row>
    <row r="384" spans="4:4" x14ac:dyDescent="0.25">
      <c r="D384" s="6"/>
    </row>
    <row r="385" spans="4:4" x14ac:dyDescent="0.25">
      <c r="D385" s="6"/>
    </row>
    <row r="386" spans="4:4" x14ac:dyDescent="0.25">
      <c r="D386" s="6"/>
    </row>
    <row r="387" spans="4:4" x14ac:dyDescent="0.25">
      <c r="D387" s="6"/>
    </row>
    <row r="388" spans="4:4" x14ac:dyDescent="0.25">
      <c r="D388" s="6"/>
    </row>
    <row r="389" spans="4:4" x14ac:dyDescent="0.25">
      <c r="D389" s="6"/>
    </row>
    <row r="390" spans="4:4" x14ac:dyDescent="0.25">
      <c r="D390" s="6"/>
    </row>
    <row r="391" spans="4:4" x14ac:dyDescent="0.25">
      <c r="D391" s="6"/>
    </row>
    <row r="392" spans="4:4" x14ac:dyDescent="0.25">
      <c r="D392" s="6"/>
    </row>
    <row r="393" spans="4:4" x14ac:dyDescent="0.25">
      <c r="D393" s="6"/>
    </row>
    <row r="394" spans="4:4" x14ac:dyDescent="0.25">
      <c r="D394" s="6"/>
    </row>
    <row r="395" spans="4:4" x14ac:dyDescent="0.25">
      <c r="D395" s="6"/>
    </row>
    <row r="396" spans="4:4" x14ac:dyDescent="0.25">
      <c r="D396" s="6"/>
    </row>
    <row r="397" spans="4:4" x14ac:dyDescent="0.25">
      <c r="D397" s="6"/>
    </row>
    <row r="398" spans="4:4" x14ac:dyDescent="0.25">
      <c r="D398" s="6"/>
    </row>
    <row r="399" spans="4:4" x14ac:dyDescent="0.25">
      <c r="D399" s="6"/>
    </row>
    <row r="400" spans="4:4" x14ac:dyDescent="0.25">
      <c r="D400" s="6"/>
    </row>
    <row r="401" spans="4:4" x14ac:dyDescent="0.25">
      <c r="D401" s="6"/>
    </row>
    <row r="402" spans="4:4" x14ac:dyDescent="0.25">
      <c r="D402" s="6"/>
    </row>
    <row r="403" spans="4:4" x14ac:dyDescent="0.25">
      <c r="D403" s="6"/>
    </row>
    <row r="404" spans="4:4" x14ac:dyDescent="0.25">
      <c r="D404" s="6"/>
    </row>
    <row r="405" spans="4:4" x14ac:dyDescent="0.25">
      <c r="D405" s="6"/>
    </row>
    <row r="406" spans="4:4" x14ac:dyDescent="0.25">
      <c r="D406" s="6"/>
    </row>
    <row r="407" spans="4:4" x14ac:dyDescent="0.25">
      <c r="D407" s="6"/>
    </row>
    <row r="408" spans="4:4" x14ac:dyDescent="0.25">
      <c r="D408" s="6"/>
    </row>
    <row r="409" spans="4:4" x14ac:dyDescent="0.25">
      <c r="D409" s="6"/>
    </row>
    <row r="410" spans="4:4" x14ac:dyDescent="0.25">
      <c r="D410" s="6"/>
    </row>
    <row r="411" spans="4:4" x14ac:dyDescent="0.25">
      <c r="D411" s="6"/>
    </row>
    <row r="412" spans="4:4" x14ac:dyDescent="0.25">
      <c r="D412" s="6"/>
    </row>
    <row r="413" spans="4:4" x14ac:dyDescent="0.25">
      <c r="D413" s="6"/>
    </row>
    <row r="414" spans="4:4" x14ac:dyDescent="0.25">
      <c r="D414" s="6"/>
    </row>
    <row r="415" spans="4:4" x14ac:dyDescent="0.25">
      <c r="D415" s="6"/>
    </row>
    <row r="416" spans="4:4" x14ac:dyDescent="0.25">
      <c r="D416" s="6"/>
    </row>
    <row r="417" spans="4:4" x14ac:dyDescent="0.25">
      <c r="D417" s="6"/>
    </row>
    <row r="418" spans="4:4" x14ac:dyDescent="0.25">
      <c r="D418" s="6"/>
    </row>
    <row r="419" spans="4:4" x14ac:dyDescent="0.25">
      <c r="D419" s="6"/>
    </row>
    <row r="420" spans="4:4" x14ac:dyDescent="0.25">
      <c r="D420" s="6"/>
    </row>
    <row r="421" spans="4:4" x14ac:dyDescent="0.25">
      <c r="D421" s="6"/>
    </row>
    <row r="422" spans="4:4" x14ac:dyDescent="0.25">
      <c r="D422" s="6"/>
    </row>
    <row r="423" spans="4:4" x14ac:dyDescent="0.25">
      <c r="D423" s="6"/>
    </row>
    <row r="424" spans="4:4" x14ac:dyDescent="0.25">
      <c r="D424" s="6"/>
    </row>
    <row r="425" spans="4:4" x14ac:dyDescent="0.25">
      <c r="D425" s="6"/>
    </row>
    <row r="426" spans="4:4" x14ac:dyDescent="0.25">
      <c r="D426" s="6"/>
    </row>
    <row r="427" spans="4:4" x14ac:dyDescent="0.25">
      <c r="D427" s="6"/>
    </row>
    <row r="428" spans="4:4" x14ac:dyDescent="0.25">
      <c r="D428" s="6"/>
    </row>
    <row r="429" spans="4:4" x14ac:dyDescent="0.25">
      <c r="D429" s="6"/>
    </row>
    <row r="430" spans="4:4" x14ac:dyDescent="0.25">
      <c r="D430" s="6"/>
    </row>
    <row r="431" spans="4:4" x14ac:dyDescent="0.25">
      <c r="D431" s="6"/>
    </row>
    <row r="432" spans="4:4" x14ac:dyDescent="0.25">
      <c r="D432" s="6"/>
    </row>
    <row r="433" spans="4:4" x14ac:dyDescent="0.25">
      <c r="D433" s="6"/>
    </row>
    <row r="434" spans="4:4" x14ac:dyDescent="0.25">
      <c r="D434" s="6"/>
    </row>
    <row r="435" spans="4:4" x14ac:dyDescent="0.25">
      <c r="D435" s="6"/>
    </row>
    <row r="436" spans="4:4" x14ac:dyDescent="0.25">
      <c r="D436" s="6"/>
    </row>
    <row r="437" spans="4:4" x14ac:dyDescent="0.25">
      <c r="D437" s="6"/>
    </row>
    <row r="438" spans="4:4" x14ac:dyDescent="0.25">
      <c r="D438" s="6"/>
    </row>
    <row r="439" spans="4:4" x14ac:dyDescent="0.25">
      <c r="D439" s="6"/>
    </row>
    <row r="440" spans="4:4" x14ac:dyDescent="0.25">
      <c r="D440" s="6"/>
    </row>
    <row r="441" spans="4:4" x14ac:dyDescent="0.25">
      <c r="D441" s="6"/>
    </row>
    <row r="442" spans="4:4" x14ac:dyDescent="0.25">
      <c r="D442" s="6"/>
    </row>
    <row r="443" spans="4:4" x14ac:dyDescent="0.25">
      <c r="D443" s="6"/>
    </row>
    <row r="444" spans="4:4" x14ac:dyDescent="0.25">
      <c r="D444" s="6"/>
    </row>
    <row r="445" spans="4:4" x14ac:dyDescent="0.25">
      <c r="D445" s="6"/>
    </row>
    <row r="446" spans="4:4" x14ac:dyDescent="0.25">
      <c r="D446" s="6"/>
    </row>
    <row r="447" spans="4:4" x14ac:dyDescent="0.25">
      <c r="D447" s="6"/>
    </row>
    <row r="448" spans="4:4" x14ac:dyDescent="0.25">
      <c r="D448" s="6"/>
    </row>
    <row r="449" spans="4:4" x14ac:dyDescent="0.25">
      <c r="D449" s="6"/>
    </row>
    <row r="450" spans="4:4" x14ac:dyDescent="0.25">
      <c r="D450" s="6"/>
    </row>
    <row r="451" spans="4:4" x14ac:dyDescent="0.25">
      <c r="D451" s="6"/>
    </row>
    <row r="452" spans="4:4" x14ac:dyDescent="0.25">
      <c r="D452" s="6"/>
    </row>
    <row r="453" spans="4:4" x14ac:dyDescent="0.25">
      <c r="D453" s="6"/>
    </row>
    <row r="454" spans="4:4" x14ac:dyDescent="0.25">
      <c r="D454" s="6"/>
    </row>
    <row r="455" spans="4:4" x14ac:dyDescent="0.25">
      <c r="D455" s="6"/>
    </row>
    <row r="456" spans="4:4" x14ac:dyDescent="0.25">
      <c r="D456" s="6"/>
    </row>
    <row r="457" spans="4:4" x14ac:dyDescent="0.25">
      <c r="D457" s="6"/>
    </row>
    <row r="458" spans="4:4" x14ac:dyDescent="0.25">
      <c r="D458" s="6"/>
    </row>
    <row r="459" spans="4:4" x14ac:dyDescent="0.25">
      <c r="D459" s="6"/>
    </row>
    <row r="460" spans="4:4" x14ac:dyDescent="0.25">
      <c r="D460" s="6"/>
    </row>
    <row r="461" spans="4:4" x14ac:dyDescent="0.25">
      <c r="D461" s="6"/>
    </row>
    <row r="462" spans="4:4" x14ac:dyDescent="0.25">
      <c r="D462" s="6"/>
    </row>
    <row r="463" spans="4:4" x14ac:dyDescent="0.25">
      <c r="D463" s="6"/>
    </row>
    <row r="464" spans="4:4" x14ac:dyDescent="0.25">
      <c r="D464" s="6"/>
    </row>
    <row r="465" spans="4:4" x14ac:dyDescent="0.25">
      <c r="D465" s="6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2" spans="4:4" x14ac:dyDescent="0.25">
      <c r="D472" s="6"/>
    </row>
    <row r="473" spans="4:4" x14ac:dyDescent="0.25">
      <c r="D473" s="6"/>
    </row>
    <row r="474" spans="4:4" x14ac:dyDescent="0.25">
      <c r="D474" s="6"/>
    </row>
    <row r="475" spans="4:4" x14ac:dyDescent="0.25">
      <c r="D475" s="6"/>
    </row>
    <row r="476" spans="4:4" x14ac:dyDescent="0.25">
      <c r="D476" s="6"/>
    </row>
    <row r="477" spans="4:4" x14ac:dyDescent="0.25">
      <c r="D477" s="6"/>
    </row>
    <row r="478" spans="4:4" x14ac:dyDescent="0.25">
      <c r="D478" s="6"/>
    </row>
    <row r="479" spans="4:4" x14ac:dyDescent="0.25">
      <c r="D479" s="6"/>
    </row>
    <row r="480" spans="4:4" x14ac:dyDescent="0.25">
      <c r="D480" s="6"/>
    </row>
    <row r="481" spans="4:4" x14ac:dyDescent="0.25">
      <c r="D481" s="6"/>
    </row>
    <row r="482" spans="4:4" x14ac:dyDescent="0.25">
      <c r="D482" s="6"/>
    </row>
    <row r="483" spans="4:4" x14ac:dyDescent="0.25">
      <c r="D483" s="6"/>
    </row>
    <row r="484" spans="4:4" x14ac:dyDescent="0.25">
      <c r="D484" s="6"/>
    </row>
    <row r="485" spans="4:4" x14ac:dyDescent="0.25">
      <c r="D485" s="6"/>
    </row>
    <row r="486" spans="4:4" x14ac:dyDescent="0.25">
      <c r="D486" s="6"/>
    </row>
    <row r="487" spans="4:4" x14ac:dyDescent="0.25">
      <c r="D487" s="6"/>
    </row>
    <row r="488" spans="4:4" x14ac:dyDescent="0.25">
      <c r="D488" s="6"/>
    </row>
    <row r="489" spans="4:4" x14ac:dyDescent="0.25">
      <c r="D489" s="6"/>
    </row>
    <row r="490" spans="4:4" x14ac:dyDescent="0.25">
      <c r="D490" s="6"/>
    </row>
    <row r="491" spans="4:4" x14ac:dyDescent="0.25">
      <c r="D491" s="6"/>
    </row>
    <row r="492" spans="4:4" x14ac:dyDescent="0.25">
      <c r="D492" s="6"/>
    </row>
    <row r="493" spans="4:4" x14ac:dyDescent="0.25">
      <c r="D493" s="6"/>
    </row>
    <row r="494" spans="4:4" x14ac:dyDescent="0.25">
      <c r="D494" s="6"/>
    </row>
    <row r="495" spans="4:4" x14ac:dyDescent="0.25">
      <c r="D495" s="6"/>
    </row>
    <row r="496" spans="4:4" x14ac:dyDescent="0.25">
      <c r="D496" s="6"/>
    </row>
    <row r="497" spans="4:4" x14ac:dyDescent="0.25">
      <c r="D497" s="6"/>
    </row>
    <row r="498" spans="4:4" x14ac:dyDescent="0.25">
      <c r="D498" s="6"/>
    </row>
    <row r="499" spans="4:4" x14ac:dyDescent="0.25">
      <c r="D499" s="6"/>
    </row>
    <row r="500" spans="4:4" x14ac:dyDescent="0.25">
      <c r="D500" s="6"/>
    </row>
    <row r="501" spans="4:4" x14ac:dyDescent="0.25">
      <c r="D501" s="6"/>
    </row>
  </sheetData>
  <dataValidations count="3">
    <dataValidation type="list" allowBlank="1" showInputMessage="1" showErrorMessage="1" sqref="A2:A501" xr:uid="{4F2E2A8E-D7CB-40C4-A1F1-2318C63FA115}">
      <formula1>"Janeiro,Fevereiro,Março,Abril,Maio,Junho,Julho,Agosto,Setembro,Outubro,Novembro,Dezembro"</formula1>
    </dataValidation>
    <dataValidation type="list" allowBlank="1" showInputMessage="1" showErrorMessage="1" sqref="C2:C501" xr:uid="{A6253FF7-0097-4D99-AEF1-EFD022D794F9}">
      <formula1>"Receita,Despesa"</formula1>
    </dataValidation>
    <dataValidation type="list" allowBlank="1" showInputMessage="1" showErrorMessage="1" sqref="B2:B501" xr:uid="{E8B79D7B-4F4B-41F3-A1F6-22ECEA71FDC5}">
      <formula1>INDIRECT(C2)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7735-00C1-4ABE-8142-0DDD15C55EB4}">
  <dimension ref="A1:O501"/>
  <sheetViews>
    <sheetView workbookViewId="0">
      <selection activeCell="C11" sqref="C11"/>
    </sheetView>
  </sheetViews>
  <sheetFormatPr defaultRowHeight="15" x14ac:dyDescent="0.25"/>
  <cols>
    <col min="1" max="1" width="9.7109375" bestFit="1" customWidth="1"/>
    <col min="2" max="2" width="9.28515625" bestFit="1" customWidth="1"/>
    <col min="3" max="3" width="9.42578125" bestFit="1" customWidth="1"/>
    <col min="4" max="4" width="14.28515625" bestFit="1" customWidth="1"/>
    <col min="5" max="5" width="14.5703125" bestFit="1" customWidth="1"/>
  </cols>
  <sheetData>
    <row r="1" spans="1:15" x14ac:dyDescent="0.25">
      <c r="A1" s="2" t="s">
        <v>24</v>
      </c>
      <c r="B1" s="2" t="s">
        <v>19</v>
      </c>
      <c r="C1" s="2" t="s">
        <v>21</v>
      </c>
      <c r="D1" s="2" t="s">
        <v>20</v>
      </c>
      <c r="E1" s="2" t="s">
        <v>25</v>
      </c>
    </row>
    <row r="2" spans="1:15" x14ac:dyDescent="0.25">
      <c r="A2" s="3"/>
      <c r="C2" t="s">
        <v>23</v>
      </c>
      <c r="D2" t="s">
        <v>5</v>
      </c>
      <c r="E2">
        <v>200</v>
      </c>
    </row>
    <row r="3" spans="1:15" x14ac:dyDescent="0.25">
      <c r="A3" s="3"/>
      <c r="C3" t="s">
        <v>29</v>
      </c>
      <c r="D3" t="s">
        <v>14</v>
      </c>
      <c r="E3">
        <v>75</v>
      </c>
    </row>
    <row r="4" spans="1:15" x14ac:dyDescent="0.25">
      <c r="A4" s="3"/>
      <c r="C4" t="s">
        <v>29</v>
      </c>
      <c r="D4" t="s">
        <v>15</v>
      </c>
      <c r="E4">
        <v>80</v>
      </c>
    </row>
    <row r="5" spans="1:15" x14ac:dyDescent="0.25">
      <c r="A5" s="3"/>
      <c r="L5" s="27" t="s">
        <v>26</v>
      </c>
      <c r="M5" s="28"/>
      <c r="N5" s="28"/>
      <c r="O5" s="28"/>
    </row>
    <row r="6" spans="1:15" x14ac:dyDescent="0.25">
      <c r="A6" s="3"/>
      <c r="L6" s="4"/>
      <c r="M6" s="4"/>
      <c r="N6" s="4"/>
      <c r="O6" s="4"/>
    </row>
    <row r="7" spans="1:15" x14ac:dyDescent="0.25">
      <c r="A7" s="3"/>
      <c r="L7" s="5"/>
      <c r="M7" s="26">
        <f>SUMIF(C:C,"Receita",E:E)</f>
        <v>200</v>
      </c>
      <c r="N7" s="26"/>
      <c r="O7" s="5"/>
    </row>
    <row r="8" spans="1:15" x14ac:dyDescent="0.25">
      <c r="A8" s="3"/>
    </row>
    <row r="9" spans="1:15" x14ac:dyDescent="0.25">
      <c r="A9" s="3"/>
    </row>
    <row r="10" spans="1:15" x14ac:dyDescent="0.25">
      <c r="A10" s="3"/>
    </row>
    <row r="11" spans="1:15" x14ac:dyDescent="0.25">
      <c r="A11" s="3"/>
    </row>
    <row r="12" spans="1:15" x14ac:dyDescent="0.25">
      <c r="A12" s="3"/>
    </row>
    <row r="13" spans="1:15" x14ac:dyDescent="0.25">
      <c r="A13" s="3"/>
      <c r="L13" s="29" t="s">
        <v>27</v>
      </c>
      <c r="M13" s="29"/>
      <c r="N13" s="29"/>
      <c r="O13" s="29"/>
    </row>
    <row r="14" spans="1:15" x14ac:dyDescent="0.25">
      <c r="A14" s="3"/>
      <c r="L14" s="5"/>
      <c r="M14" s="5"/>
      <c r="N14" s="5"/>
      <c r="O14" s="5"/>
    </row>
    <row r="15" spans="1:15" x14ac:dyDescent="0.25">
      <c r="A15" s="3"/>
      <c r="L15" s="5"/>
      <c r="M15" s="26">
        <f>SUMIF(C:C,"Despesa",E:E)</f>
        <v>155</v>
      </c>
      <c r="N15" s="26"/>
      <c r="O15" s="5"/>
    </row>
    <row r="16" spans="1:15" x14ac:dyDescent="0.25">
      <c r="A16" s="3"/>
    </row>
    <row r="17" spans="1:15" x14ac:dyDescent="0.25">
      <c r="A17" s="3"/>
    </row>
    <row r="18" spans="1:15" x14ac:dyDescent="0.25">
      <c r="A18" s="3"/>
    </row>
    <row r="19" spans="1:15" x14ac:dyDescent="0.25">
      <c r="A19" s="3"/>
    </row>
    <row r="20" spans="1:15" x14ac:dyDescent="0.25">
      <c r="A20" s="3"/>
    </row>
    <row r="21" spans="1:15" x14ac:dyDescent="0.25">
      <c r="A21" s="3"/>
      <c r="L21" s="29" t="s">
        <v>28</v>
      </c>
      <c r="M21" s="29"/>
      <c r="N21" s="29"/>
      <c r="O21" s="29"/>
    </row>
    <row r="22" spans="1:15" x14ac:dyDescent="0.25">
      <c r="A22" s="3"/>
      <c r="L22" s="5"/>
      <c r="M22" s="5"/>
      <c r="N22" s="5"/>
      <c r="O22" s="5"/>
    </row>
    <row r="23" spans="1:15" x14ac:dyDescent="0.25">
      <c r="A23" s="3"/>
      <c r="L23" s="5"/>
      <c r="M23" s="26">
        <f>SUMIF(C:C,"Receita",E:E)-SUMIF(C:C,"Despesa",E:E)</f>
        <v>45</v>
      </c>
      <c r="N23" s="26"/>
      <c r="O23" s="5"/>
    </row>
    <row r="24" spans="1:15" x14ac:dyDescent="0.25">
      <c r="A24" s="3"/>
    </row>
    <row r="25" spans="1:15" x14ac:dyDescent="0.25">
      <c r="A25" s="3"/>
    </row>
    <row r="26" spans="1:15" x14ac:dyDescent="0.25">
      <c r="A26" s="3"/>
    </row>
    <row r="27" spans="1:15" x14ac:dyDescent="0.25">
      <c r="A27" s="3"/>
    </row>
    <row r="28" spans="1:15" x14ac:dyDescent="0.25">
      <c r="A28" s="3"/>
    </row>
    <row r="29" spans="1:15" x14ac:dyDescent="0.25">
      <c r="A29" s="3"/>
    </row>
    <row r="30" spans="1:15" x14ac:dyDescent="0.25">
      <c r="A30" s="3"/>
    </row>
    <row r="31" spans="1:15" x14ac:dyDescent="0.25">
      <c r="A31" s="3"/>
    </row>
    <row r="32" spans="1:15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</sheetData>
  <mergeCells count="6">
    <mergeCell ref="M23:N23"/>
    <mergeCell ref="L5:O5"/>
    <mergeCell ref="L13:O13"/>
    <mergeCell ref="L21:O21"/>
    <mergeCell ref="M7:N7"/>
    <mergeCell ref="M15:N15"/>
  </mergeCells>
  <conditionalFormatting sqref="C2:C501">
    <cfRule type="cellIs" dxfId="1" priority="1" operator="equal">
      <formula>"Despesa"</formula>
    </cfRule>
    <cfRule type="cellIs" dxfId="0" priority="2" operator="equal">
      <formula>"Receita"</formula>
    </cfRule>
  </conditionalFormatting>
  <dataValidations count="3">
    <dataValidation type="list" allowBlank="1" showInputMessage="1" showErrorMessage="1" sqref="B2:B501" xr:uid="{8D95AC52-3E87-4970-818A-8A9D16510A68}">
      <formula1>"Janeiro,Fevereiro,Março,Abril,Maio,Junho,Julho,Agosto,Setembro,Outubro,Novembro,Dezembro"</formula1>
    </dataValidation>
    <dataValidation type="list" allowBlank="1" showInputMessage="1" showErrorMessage="1" sqref="C2:C501" xr:uid="{A0A2BC33-FF27-4CED-9D30-E2F742150BEA}">
      <formula1>"Receita,Despesa"</formula1>
    </dataValidation>
    <dataValidation type="list" allowBlank="1" showInputMessage="1" showErrorMessage="1" sqref="D2:D501" xr:uid="{EC9ACBA5-1476-4D66-B074-03B11F502F09}">
      <formula1>INDIRECT(C2)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953A-902F-40C4-9850-3EBD6067BE9A}">
  <dimension ref="A1:P501"/>
  <sheetViews>
    <sheetView workbookViewId="0">
      <selection activeCell="F7" sqref="F7"/>
    </sheetView>
  </sheetViews>
  <sheetFormatPr defaultRowHeight="15" x14ac:dyDescent="0.25"/>
  <cols>
    <col min="1" max="1" width="16.140625" bestFit="1" customWidth="1"/>
    <col min="2" max="2" width="12" bestFit="1" customWidth="1"/>
    <col min="3" max="3" width="14.28515625" bestFit="1" customWidth="1"/>
    <col min="4" max="4" width="14.42578125" bestFit="1" customWidth="1"/>
    <col min="5" max="5" width="9.28515625" customWidth="1"/>
  </cols>
  <sheetData>
    <row r="1" spans="1:16" x14ac:dyDescent="0.25">
      <c r="A1" s="2" t="s">
        <v>20</v>
      </c>
      <c r="B1" s="2" t="s">
        <v>30</v>
      </c>
      <c r="C1" s="2" t="s">
        <v>31</v>
      </c>
      <c r="D1" s="2" t="s">
        <v>32</v>
      </c>
    </row>
    <row r="2" spans="1:16" x14ac:dyDescent="0.25">
      <c r="A2" t="s">
        <v>11</v>
      </c>
      <c r="B2">
        <f>IF(A2="","",SUMIF('Orçamento Anual'!B:B,A2,'Orçamento Anual'!D:D))</f>
        <v>0</v>
      </c>
      <c r="C2">
        <f>IF(A2="","",SUMIF(Realizado!D:D,A2,Realizado!E:E))</f>
        <v>0</v>
      </c>
      <c r="D2">
        <f t="shared" ref="D2:D65" si="0">IF(A2="","",C2-B2)</f>
        <v>0</v>
      </c>
    </row>
    <row r="3" spans="1:16" x14ac:dyDescent="0.25">
      <c r="A3" t="s">
        <v>12</v>
      </c>
      <c r="B3">
        <f>IF(A3="","",SUMIF('Orçamento Anual'!B:B,A3,'Orçamento Anual'!D:D))</f>
        <v>0</v>
      </c>
      <c r="C3">
        <f>IF(A3="","",SUMIF(Realizado!D:D,A3,Realizado!E:E))</f>
        <v>0</v>
      </c>
      <c r="D3">
        <f t="shared" si="0"/>
        <v>0</v>
      </c>
    </row>
    <row r="4" spans="1:16" x14ac:dyDescent="0.25">
      <c r="A4" t="s">
        <v>13</v>
      </c>
      <c r="B4">
        <f>IF(A4="","",SUMIF('Orçamento Anual'!B:B,A4,'Orçamento Anual'!D:D))</f>
        <v>0</v>
      </c>
      <c r="C4">
        <f>IF(A4="","",SUMIF(Realizado!D:D,A4,Realizado!E:E))</f>
        <v>0</v>
      </c>
      <c r="D4">
        <f t="shared" si="0"/>
        <v>0</v>
      </c>
    </row>
    <row r="5" spans="1:16" x14ac:dyDescent="0.25">
      <c r="A5" t="s">
        <v>14</v>
      </c>
      <c r="B5">
        <f>IF(A5="","",SUMIF('Orçamento Anual'!B:B,A5,'Orçamento Anual'!D:D))</f>
        <v>0</v>
      </c>
      <c r="C5">
        <f>IF(A5="","",SUMIF(Realizado!D:D,A5,Realizado!E:E))</f>
        <v>75</v>
      </c>
      <c r="D5">
        <f t="shared" si="0"/>
        <v>75</v>
      </c>
    </row>
    <row r="6" spans="1:16" x14ac:dyDescent="0.25">
      <c r="A6" t="s">
        <v>15</v>
      </c>
      <c r="B6">
        <f>IF(A6="","",SUMIF('Orçamento Anual'!B:B,A6,'Orçamento Anual'!D:D))</f>
        <v>80</v>
      </c>
      <c r="C6">
        <f>IF(A6="","",SUMIF(Realizado!D:D,A6,Realizado!E:E))</f>
        <v>80</v>
      </c>
      <c r="D6">
        <f t="shared" si="0"/>
        <v>0</v>
      </c>
    </row>
    <row r="7" spans="1:16" x14ac:dyDescent="0.25">
      <c r="A7" t="s">
        <v>16</v>
      </c>
      <c r="B7">
        <f>IF(A7="","",SUMIF('Orçamento Anual'!B:B,A7,'Orçamento Anual'!D:D))</f>
        <v>0</v>
      </c>
      <c r="C7">
        <f>IF(A7="","",SUMIF(Realizado!D:D,A7,Realizado!E:E))</f>
        <v>0</v>
      </c>
      <c r="D7">
        <f t="shared" si="0"/>
        <v>0</v>
      </c>
    </row>
    <row r="8" spans="1:16" x14ac:dyDescent="0.25">
      <c r="A8" t="s">
        <v>17</v>
      </c>
      <c r="B8">
        <f>IF(A8="","",SUMIF('Orçamento Anual'!B:B,A8,'Orçamento Anual'!D:D))</f>
        <v>0</v>
      </c>
      <c r="C8">
        <f>IF(A8="","",SUMIF(Realizado!D:D,A8,Realizado!E:E))</f>
        <v>0</v>
      </c>
      <c r="D8">
        <f t="shared" si="0"/>
        <v>0</v>
      </c>
      <c r="G8" s="29" t="s">
        <v>35</v>
      </c>
      <c r="H8" s="29"/>
      <c r="I8" s="29"/>
      <c r="J8" s="29"/>
      <c r="M8" s="29" t="s">
        <v>36</v>
      </c>
      <c r="N8" s="29"/>
      <c r="O8" s="29"/>
      <c r="P8" s="29"/>
    </row>
    <row r="9" spans="1:16" x14ac:dyDescent="0.25">
      <c r="A9" t="s">
        <v>18</v>
      </c>
      <c r="B9">
        <f>IF(A9="","",SUMIF('Orçamento Anual'!B:B,A9,'Orçamento Anual'!D:D))</f>
        <v>0</v>
      </c>
      <c r="C9">
        <f>IF(A9="","",SUMIF(Realizado!D:D,A9,Realizado!E:E))</f>
        <v>0</v>
      </c>
      <c r="D9">
        <f t="shared" si="0"/>
        <v>0</v>
      </c>
      <c r="G9" s="5"/>
      <c r="H9" s="5"/>
      <c r="I9" s="5"/>
      <c r="J9" s="5"/>
      <c r="M9" s="5"/>
      <c r="N9" s="5"/>
      <c r="O9" s="5"/>
      <c r="P9" s="5"/>
    </row>
    <row r="10" spans="1:16" x14ac:dyDescent="0.25">
      <c r="A10" t="s">
        <v>33</v>
      </c>
      <c r="B10">
        <f>IF(A10="","",SUMIF('Orçamento Anual'!B:B,A10,'Orçamento Anual'!D:D))</f>
        <v>0</v>
      </c>
      <c r="C10">
        <f>IF(A10="","",SUMIF(Realizado!D:D,A10,Realizado!E:E))</f>
        <v>0</v>
      </c>
      <c r="D10">
        <f t="shared" si="0"/>
        <v>0</v>
      </c>
      <c r="G10" s="5"/>
      <c r="H10" s="26">
        <f>SUM(B:B)</f>
        <v>730</v>
      </c>
      <c r="I10" s="26"/>
      <c r="J10" s="5"/>
      <c r="M10" s="5"/>
      <c r="N10" s="26">
        <f>SUM(C:C)</f>
        <v>355</v>
      </c>
      <c r="O10" s="26"/>
      <c r="P10" s="5"/>
    </row>
    <row r="11" spans="1:16" x14ac:dyDescent="0.25">
      <c r="A11" t="s">
        <v>5</v>
      </c>
      <c r="B11">
        <f>IF(A11="","",SUMIF('Orçamento Anual'!B:B,A11,'Orçamento Anual'!D:D))</f>
        <v>150</v>
      </c>
      <c r="C11">
        <f>IF(A11="","",SUMIF(Realizado!D:D,A11,Realizado!E:E))</f>
        <v>200</v>
      </c>
      <c r="D11">
        <f t="shared" si="0"/>
        <v>50</v>
      </c>
    </row>
    <row r="12" spans="1:16" x14ac:dyDescent="0.25">
      <c r="A12" t="s">
        <v>6</v>
      </c>
      <c r="B12">
        <f>IF(A12="","",SUMIF('Orçamento Anual'!B:B,A12,'Orçamento Anual'!D:D))</f>
        <v>500</v>
      </c>
      <c r="C12">
        <f>IF(A12="","",SUMIF(Realizado!D:D,A12,Realizado!E:E))</f>
        <v>0</v>
      </c>
      <c r="D12">
        <f t="shared" si="0"/>
        <v>-500</v>
      </c>
    </row>
    <row r="13" spans="1:16" x14ac:dyDescent="0.25">
      <c r="A13" t="s">
        <v>7</v>
      </c>
      <c r="B13">
        <f>IF(A13="","",SUMIF('Orçamento Anual'!B:B,A13,'Orçamento Anual'!D:D))</f>
        <v>0</v>
      </c>
      <c r="C13">
        <f>IF(A13="","",SUMIF(Realizado!D:D,A13,Realizado!E:E))</f>
        <v>0</v>
      </c>
      <c r="D13">
        <f t="shared" si="0"/>
        <v>0</v>
      </c>
    </row>
    <row r="14" spans="1:16" x14ac:dyDescent="0.25">
      <c r="A14" t="s">
        <v>8</v>
      </c>
      <c r="B14">
        <f>IF(A14="","",SUMIF('Orçamento Anual'!B:B,A14,'Orçamento Anual'!D:D))</f>
        <v>0</v>
      </c>
      <c r="C14">
        <f>IF(A14="","",SUMIF(Realizado!D:D,A14,Realizado!E:E))</f>
        <v>0</v>
      </c>
      <c r="D14">
        <f t="shared" si="0"/>
        <v>0</v>
      </c>
    </row>
    <row r="15" spans="1:16" x14ac:dyDescent="0.25">
      <c r="A15" t="s">
        <v>9</v>
      </c>
      <c r="B15">
        <f>IF(A15="","",SUMIF('Orçamento Anual'!B:B,A15,'Orçamento Anual'!D:D))</f>
        <v>0</v>
      </c>
      <c r="C15">
        <f>IF(A15="","",SUMIF(Realizado!D:D,A15,Realizado!E:E))</f>
        <v>0</v>
      </c>
      <c r="D15">
        <f t="shared" si="0"/>
        <v>0</v>
      </c>
    </row>
    <row r="16" spans="1:16" x14ac:dyDescent="0.25">
      <c r="A16" t="s">
        <v>34</v>
      </c>
      <c r="B16">
        <f>IF(A16="","",SUMIF('Orçamento Anual'!B:B,A16,'Orçamento Anual'!D:D))</f>
        <v>0</v>
      </c>
      <c r="C16">
        <f>IF(A16="","",SUMIF(Realizado!D:D,A16,Realizado!E:E))</f>
        <v>0</v>
      </c>
      <c r="D16">
        <f t="shared" si="0"/>
        <v>0</v>
      </c>
    </row>
    <row r="17" spans="2:16" x14ac:dyDescent="0.25">
      <c r="B17" t="str">
        <f>IF(A17="","",SUMIF('Orçamento Anual'!B:B,A17,'Orçamento Anual'!D:D))</f>
        <v/>
      </c>
      <c r="C17" t="str">
        <f>IF(A17="","",SUMIF(Realizado!D:D,A17,Realizado!E:E))</f>
        <v/>
      </c>
      <c r="D17" t="str">
        <f t="shared" si="0"/>
        <v/>
      </c>
    </row>
    <row r="18" spans="2:16" x14ac:dyDescent="0.25">
      <c r="B18" t="str">
        <f>IF(A18="","",SUMIF('Orçamento Anual'!B:B,A18,'Orçamento Anual'!D:D))</f>
        <v/>
      </c>
      <c r="C18" t="str">
        <f>IF(A18="","",SUMIF(Realizado!D:D,A18,Realizado!E:E))</f>
        <v/>
      </c>
      <c r="D18" t="str">
        <f t="shared" si="0"/>
        <v/>
      </c>
      <c r="G18" s="29" t="s">
        <v>37</v>
      </c>
      <c r="H18" s="29"/>
      <c r="I18" s="29"/>
      <c r="J18" s="29"/>
      <c r="M18" s="29" t="s">
        <v>38</v>
      </c>
      <c r="N18" s="29"/>
      <c r="O18" s="29"/>
      <c r="P18" s="29"/>
    </row>
    <row r="19" spans="2:16" x14ac:dyDescent="0.25">
      <c r="B19" t="str">
        <f>IF(A19="","",SUMIF('Orçamento Anual'!B:B,A19,'Orçamento Anual'!D:D))</f>
        <v/>
      </c>
      <c r="C19" t="str">
        <f>IF(A19="","",SUMIF(Realizado!D:D,A19,Realizado!E:E))</f>
        <v/>
      </c>
      <c r="D19" t="str">
        <f t="shared" si="0"/>
        <v/>
      </c>
      <c r="G19" s="5"/>
      <c r="H19" s="5"/>
      <c r="I19" s="5"/>
      <c r="J19" s="5"/>
      <c r="M19" s="5"/>
      <c r="N19" s="5"/>
      <c r="O19" s="5"/>
      <c r="P19" s="5"/>
    </row>
    <row r="20" spans="2:16" x14ac:dyDescent="0.25">
      <c r="B20" t="str">
        <f>IF(A20="","",SUMIF('Orçamento Anual'!B:B,A20,'Orçamento Anual'!D:D))</f>
        <v/>
      </c>
      <c r="C20" t="str">
        <f>IF(A20="","",SUMIF(Realizado!D:D,A20,Realizado!E:E))</f>
        <v/>
      </c>
      <c r="D20" t="str">
        <f t="shared" si="0"/>
        <v/>
      </c>
      <c r="G20" s="5"/>
      <c r="H20" s="26">
        <f>SUM(D:D)</f>
        <v>-375</v>
      </c>
      <c r="I20" s="26"/>
      <c r="J20" s="5"/>
      <c r="M20" s="5"/>
      <c r="N20" s="30">
        <f>IF(SUM(B:B)=0,"",SUM(C:C)/SUM(B:B))</f>
        <v>0.4863013698630137</v>
      </c>
      <c r="O20" s="30"/>
      <c r="P20" s="5"/>
    </row>
    <row r="21" spans="2:16" x14ac:dyDescent="0.25">
      <c r="B21" t="str">
        <f>IF(A21="","",SUMIF('Orçamento Anual'!B:B,A21,'Orçamento Anual'!D:D))</f>
        <v/>
      </c>
      <c r="C21" t="str">
        <f>IF(A21="","",SUMIF(Realizado!D:D,A21,Realizado!E:E))</f>
        <v/>
      </c>
      <c r="D21" t="str">
        <f t="shared" si="0"/>
        <v/>
      </c>
    </row>
    <row r="22" spans="2:16" x14ac:dyDescent="0.25">
      <c r="B22" t="str">
        <f>IF(A22="","",SUMIF('Orçamento Anual'!B:B,A22,'Orçamento Anual'!D:D))</f>
        <v/>
      </c>
      <c r="C22" t="str">
        <f>IF(A22="","",SUMIF(Realizado!D:D,A22,Realizado!E:E))</f>
        <v/>
      </c>
      <c r="D22" t="str">
        <f t="shared" si="0"/>
        <v/>
      </c>
    </row>
    <row r="23" spans="2:16" x14ac:dyDescent="0.25">
      <c r="B23" t="str">
        <f>IF(A23="","",SUMIF('Orçamento Anual'!B:B,A23,'Orçamento Anual'!D:D))</f>
        <v/>
      </c>
      <c r="C23" t="str">
        <f>IF(A23="","",SUMIF(Realizado!D:D,A23,Realizado!E:E))</f>
        <v/>
      </c>
      <c r="D23" t="str">
        <f t="shared" si="0"/>
        <v/>
      </c>
    </row>
    <row r="24" spans="2:16" x14ac:dyDescent="0.25">
      <c r="B24" t="str">
        <f>IF(A24="","",SUMIF('Orçamento Anual'!B:B,A24,'Orçamento Anual'!D:D))</f>
        <v/>
      </c>
      <c r="C24" t="str">
        <f>IF(A24="","",SUMIF(Realizado!D:D,A24,Realizado!E:E))</f>
        <v/>
      </c>
      <c r="D24" t="str">
        <f t="shared" si="0"/>
        <v/>
      </c>
    </row>
    <row r="25" spans="2:16" x14ac:dyDescent="0.25">
      <c r="B25" t="str">
        <f>IF(A25="","",SUMIF('Orçamento Anual'!B:B,A25,'Orçamento Anual'!D:D))</f>
        <v/>
      </c>
      <c r="C25" t="str">
        <f>IF(A25="","",SUMIF(Realizado!D:D,A25,Realizado!E:E))</f>
        <v/>
      </c>
      <c r="D25" t="str">
        <f t="shared" si="0"/>
        <v/>
      </c>
    </row>
    <row r="26" spans="2:16" x14ac:dyDescent="0.25">
      <c r="B26" t="str">
        <f>IF(A26="","",SUMIF('Orçamento Anual'!B:B,A26,'Orçamento Anual'!D:D))</f>
        <v/>
      </c>
      <c r="C26" t="str">
        <f>IF(A26="","",SUMIF(Realizado!D:D,A26,Realizado!E:E))</f>
        <v/>
      </c>
      <c r="D26" t="str">
        <f t="shared" si="0"/>
        <v/>
      </c>
    </row>
    <row r="27" spans="2:16" x14ac:dyDescent="0.25">
      <c r="B27" t="str">
        <f>IF(A27="","",SUMIF('Orçamento Anual'!B:B,A27,'Orçamento Anual'!D:D))</f>
        <v/>
      </c>
      <c r="C27" t="str">
        <f>IF(A27="","",SUMIF(Realizado!D:D,A27,Realizado!E:E))</f>
        <v/>
      </c>
      <c r="D27" t="str">
        <f t="shared" si="0"/>
        <v/>
      </c>
    </row>
    <row r="28" spans="2:16" x14ac:dyDescent="0.25">
      <c r="B28" t="str">
        <f>IF(A28="","",SUMIF('Orçamento Anual'!B:B,A28,'Orçamento Anual'!D:D))</f>
        <v/>
      </c>
      <c r="C28" t="str">
        <f>IF(A28="","",SUMIF(Realizado!D:D,A28,Realizado!E:E))</f>
        <v/>
      </c>
      <c r="D28" t="str">
        <f t="shared" si="0"/>
        <v/>
      </c>
    </row>
    <row r="29" spans="2:16" x14ac:dyDescent="0.25">
      <c r="B29" t="str">
        <f>IF(A29="","",SUMIF('Orçamento Anual'!B:B,A29,'Orçamento Anual'!D:D))</f>
        <v/>
      </c>
      <c r="C29" t="str">
        <f>IF(A29="","",SUMIF(Realizado!D:D,A29,Realizado!E:E))</f>
        <v/>
      </c>
      <c r="D29" t="str">
        <f t="shared" si="0"/>
        <v/>
      </c>
    </row>
    <row r="30" spans="2:16" x14ac:dyDescent="0.25">
      <c r="B30" t="str">
        <f>IF(A30="","",SUMIF('Orçamento Anual'!B:B,A30,'Orçamento Anual'!D:D))</f>
        <v/>
      </c>
      <c r="C30" t="str">
        <f>IF(A30="","",SUMIF(Realizado!D:D,A30,Realizado!E:E))</f>
        <v/>
      </c>
      <c r="D30" t="str">
        <f t="shared" si="0"/>
        <v/>
      </c>
    </row>
    <row r="31" spans="2:16" x14ac:dyDescent="0.25">
      <c r="B31" t="str">
        <f>IF(A31="","",SUMIF('Orçamento Anual'!B:B,A31,'Orçamento Anual'!D:D))</f>
        <v/>
      </c>
      <c r="C31" t="str">
        <f>IF(A31="","",SUMIF(Realizado!D:D,A31,Realizado!E:E))</f>
        <v/>
      </c>
      <c r="D31" t="str">
        <f t="shared" si="0"/>
        <v/>
      </c>
    </row>
    <row r="32" spans="2:16" x14ac:dyDescent="0.25">
      <c r="B32" t="str">
        <f>IF(A32="","",SUMIF('Orçamento Anual'!B:B,A32,'Orçamento Anual'!D:D))</f>
        <v/>
      </c>
      <c r="C32" t="str">
        <f>IF(A32="","",SUMIF(Realizado!D:D,A32,Realizado!E:E))</f>
        <v/>
      </c>
      <c r="D32" t="str">
        <f t="shared" si="0"/>
        <v/>
      </c>
    </row>
    <row r="33" spans="2:4" x14ac:dyDescent="0.25">
      <c r="B33" t="str">
        <f>IF(A33="","",SUMIF('Orçamento Anual'!B:B,A33,'Orçamento Anual'!D:D))</f>
        <v/>
      </c>
      <c r="C33" t="str">
        <f>IF(A33="","",SUMIF(Realizado!D:D,A33,Realizado!E:E))</f>
        <v/>
      </c>
      <c r="D33" t="str">
        <f t="shared" si="0"/>
        <v/>
      </c>
    </row>
    <row r="34" spans="2:4" x14ac:dyDescent="0.25">
      <c r="B34" t="str">
        <f>IF(A34="","",SUMIF('Orçamento Anual'!B:B,A34,'Orçamento Anual'!D:D))</f>
        <v/>
      </c>
      <c r="C34" t="str">
        <f>IF(A34="","",SUMIF(Realizado!D:D,A34,Realizado!E:E))</f>
        <v/>
      </c>
      <c r="D34" t="str">
        <f t="shared" si="0"/>
        <v/>
      </c>
    </row>
    <row r="35" spans="2:4" x14ac:dyDescent="0.25">
      <c r="B35" t="str">
        <f>IF(A35="","",SUMIF('Orçamento Anual'!B:B,A35,'Orçamento Anual'!D:D))</f>
        <v/>
      </c>
      <c r="C35" t="str">
        <f>IF(A35="","",SUMIF(Realizado!D:D,A35,Realizado!E:E))</f>
        <v/>
      </c>
      <c r="D35" t="str">
        <f t="shared" si="0"/>
        <v/>
      </c>
    </row>
    <row r="36" spans="2:4" x14ac:dyDescent="0.25">
      <c r="B36" t="str">
        <f>IF(A36="","",SUMIF('Orçamento Anual'!B:B,A36,'Orçamento Anual'!D:D))</f>
        <v/>
      </c>
      <c r="C36" t="str">
        <f>IF(A36="","",SUMIF(Realizado!D:D,A36,Realizado!E:E))</f>
        <v/>
      </c>
      <c r="D36" t="str">
        <f t="shared" si="0"/>
        <v/>
      </c>
    </row>
    <row r="37" spans="2:4" x14ac:dyDescent="0.25">
      <c r="B37" t="str">
        <f>IF(A37="","",SUMIF('Orçamento Anual'!B:B,A37,'Orçamento Anual'!D:D))</f>
        <v/>
      </c>
      <c r="C37" t="str">
        <f>IF(A37="","",SUMIF(Realizado!D:D,A37,Realizado!E:E))</f>
        <v/>
      </c>
      <c r="D37" t="str">
        <f t="shared" si="0"/>
        <v/>
      </c>
    </row>
    <row r="38" spans="2:4" x14ac:dyDescent="0.25">
      <c r="B38" t="str">
        <f>IF(A38="","",SUMIF('Orçamento Anual'!B:B,A38,'Orçamento Anual'!D:D))</f>
        <v/>
      </c>
      <c r="C38" t="str">
        <f>IF(A38="","",SUMIF(Realizado!D:D,A38,Realizado!E:E))</f>
        <v/>
      </c>
      <c r="D38" t="str">
        <f t="shared" si="0"/>
        <v/>
      </c>
    </row>
    <row r="39" spans="2:4" x14ac:dyDescent="0.25">
      <c r="B39" t="str">
        <f>IF(A39="","",SUMIF('Orçamento Anual'!B:B,A39,'Orçamento Anual'!D:D))</f>
        <v/>
      </c>
      <c r="C39" t="str">
        <f>IF(A39="","",SUMIF(Realizado!D:D,A39,Realizado!E:E))</f>
        <v/>
      </c>
      <c r="D39" t="str">
        <f t="shared" si="0"/>
        <v/>
      </c>
    </row>
    <row r="40" spans="2:4" x14ac:dyDescent="0.25">
      <c r="B40" t="str">
        <f>IF(A40="","",SUMIF('Orçamento Anual'!B:B,A40,'Orçamento Anual'!D:D))</f>
        <v/>
      </c>
      <c r="C40" t="str">
        <f>IF(A40="","",SUMIF(Realizado!D:D,A40,Realizado!E:E))</f>
        <v/>
      </c>
      <c r="D40" t="str">
        <f t="shared" si="0"/>
        <v/>
      </c>
    </row>
    <row r="41" spans="2:4" x14ac:dyDescent="0.25">
      <c r="B41" t="str">
        <f>IF(A41="","",SUMIF('Orçamento Anual'!B:B,A41,'Orçamento Anual'!D:D))</f>
        <v/>
      </c>
      <c r="C41" t="str">
        <f>IF(A41="","",SUMIF(Realizado!D:D,A41,Realizado!E:E))</f>
        <v/>
      </c>
      <c r="D41" t="str">
        <f t="shared" si="0"/>
        <v/>
      </c>
    </row>
    <row r="42" spans="2:4" x14ac:dyDescent="0.25">
      <c r="B42" t="str">
        <f>IF(A42="","",SUMIF('Orçamento Anual'!B:B,A42,'Orçamento Anual'!D:D))</f>
        <v/>
      </c>
      <c r="C42" t="str">
        <f>IF(A42="","",SUMIF(Realizado!D:D,A42,Realizado!E:E))</f>
        <v/>
      </c>
      <c r="D42" t="str">
        <f t="shared" si="0"/>
        <v/>
      </c>
    </row>
    <row r="43" spans="2:4" x14ac:dyDescent="0.25">
      <c r="B43" t="str">
        <f>IF(A43="","",SUMIF('Orçamento Anual'!B:B,A43,'Orçamento Anual'!D:D))</f>
        <v/>
      </c>
      <c r="C43" t="str">
        <f>IF(A43="","",SUMIF(Realizado!D:D,A43,Realizado!E:E))</f>
        <v/>
      </c>
      <c r="D43" t="str">
        <f t="shared" si="0"/>
        <v/>
      </c>
    </row>
    <row r="44" spans="2:4" x14ac:dyDescent="0.25">
      <c r="B44" t="str">
        <f>IF(A44="","",SUMIF('Orçamento Anual'!B:B,A44,'Orçamento Anual'!D:D))</f>
        <v/>
      </c>
      <c r="C44" t="str">
        <f>IF(A44="","",SUMIF(Realizado!D:D,A44,Realizado!E:E))</f>
        <v/>
      </c>
      <c r="D44" t="str">
        <f t="shared" si="0"/>
        <v/>
      </c>
    </row>
    <row r="45" spans="2:4" x14ac:dyDescent="0.25">
      <c r="B45" t="str">
        <f>IF(A45="","",SUMIF('Orçamento Anual'!B:B,A45,'Orçamento Anual'!D:D))</f>
        <v/>
      </c>
      <c r="C45" t="str">
        <f>IF(A45="","",SUMIF(Realizado!D:D,A45,Realizado!E:E))</f>
        <v/>
      </c>
      <c r="D45" t="str">
        <f t="shared" si="0"/>
        <v/>
      </c>
    </row>
    <row r="46" spans="2:4" x14ac:dyDescent="0.25">
      <c r="B46" t="str">
        <f>IF(A46="","",SUMIF('Orçamento Anual'!B:B,A46,'Orçamento Anual'!D:D))</f>
        <v/>
      </c>
      <c r="C46" t="str">
        <f>IF(A46="","",SUMIF(Realizado!D:D,A46,Realizado!E:E))</f>
        <v/>
      </c>
      <c r="D46" t="str">
        <f t="shared" si="0"/>
        <v/>
      </c>
    </row>
    <row r="47" spans="2:4" x14ac:dyDescent="0.25">
      <c r="B47" t="str">
        <f>IF(A47="","",SUMIF('Orçamento Anual'!B:B,A47,'Orçamento Anual'!D:D))</f>
        <v/>
      </c>
      <c r="C47" t="str">
        <f>IF(A47="","",SUMIF(Realizado!D:D,A47,Realizado!E:E))</f>
        <v/>
      </c>
      <c r="D47" t="str">
        <f t="shared" si="0"/>
        <v/>
      </c>
    </row>
    <row r="48" spans="2:4" x14ac:dyDescent="0.25">
      <c r="B48" t="str">
        <f>IF(A48="","",SUMIF('Orçamento Anual'!B:B,A48,'Orçamento Anual'!D:D))</f>
        <v/>
      </c>
      <c r="C48" t="str">
        <f>IF(A48="","",SUMIF(Realizado!D:D,A48,Realizado!E:E))</f>
        <v/>
      </c>
      <c r="D48" t="str">
        <f t="shared" si="0"/>
        <v/>
      </c>
    </row>
    <row r="49" spans="2:4" x14ac:dyDescent="0.25">
      <c r="B49" t="str">
        <f>IF(A49="","",SUMIF('Orçamento Anual'!B:B,A49,'Orçamento Anual'!D:D))</f>
        <v/>
      </c>
      <c r="C49" t="str">
        <f>IF(A49="","",SUMIF(Realizado!D:D,A49,Realizado!E:E))</f>
        <v/>
      </c>
      <c r="D49" t="str">
        <f t="shared" si="0"/>
        <v/>
      </c>
    </row>
    <row r="50" spans="2:4" x14ac:dyDescent="0.25">
      <c r="B50" t="str">
        <f>IF(A50="","",SUMIF('Orçamento Anual'!B:B,A50,'Orçamento Anual'!D:D))</f>
        <v/>
      </c>
      <c r="C50" t="str">
        <f>IF(A50="","",SUMIF(Realizado!D:D,A50,Realizado!E:E))</f>
        <v/>
      </c>
      <c r="D50" t="str">
        <f t="shared" si="0"/>
        <v/>
      </c>
    </row>
    <row r="51" spans="2:4" x14ac:dyDescent="0.25">
      <c r="B51" t="str">
        <f>IF(A51="","",SUMIF('Orçamento Anual'!B:B,A51,'Orçamento Anual'!D:D))</f>
        <v/>
      </c>
      <c r="C51" t="str">
        <f>IF(A51="","",SUMIF(Realizado!D:D,A51,Realizado!E:E))</f>
        <v/>
      </c>
      <c r="D51" t="str">
        <f t="shared" si="0"/>
        <v/>
      </c>
    </row>
    <row r="52" spans="2:4" x14ac:dyDescent="0.25">
      <c r="B52" t="str">
        <f>IF(A52="","",SUMIF('Orçamento Anual'!B:B,A52,'Orçamento Anual'!D:D))</f>
        <v/>
      </c>
      <c r="C52" t="str">
        <f>IF(A52="","",SUMIF(Realizado!D:D,A52,Realizado!E:E))</f>
        <v/>
      </c>
      <c r="D52" t="str">
        <f t="shared" si="0"/>
        <v/>
      </c>
    </row>
    <row r="53" spans="2:4" x14ac:dyDescent="0.25">
      <c r="B53" t="str">
        <f>IF(A53="","",SUMIF('Orçamento Anual'!B:B,A53,'Orçamento Anual'!D:D))</f>
        <v/>
      </c>
      <c r="C53" t="str">
        <f>IF(A53="","",SUMIF(Realizado!D:D,A53,Realizado!E:E))</f>
        <v/>
      </c>
      <c r="D53" t="str">
        <f t="shared" si="0"/>
        <v/>
      </c>
    </row>
    <row r="54" spans="2:4" x14ac:dyDescent="0.25">
      <c r="B54" t="str">
        <f>IF(A54="","",SUMIF('Orçamento Anual'!B:B,A54,'Orçamento Anual'!D:D))</f>
        <v/>
      </c>
      <c r="C54" t="str">
        <f>IF(A54="","",SUMIF(Realizado!D:D,A54,Realizado!E:E))</f>
        <v/>
      </c>
      <c r="D54" t="str">
        <f t="shared" si="0"/>
        <v/>
      </c>
    </row>
    <row r="55" spans="2:4" x14ac:dyDescent="0.25">
      <c r="B55" t="str">
        <f>IF(A55="","",SUMIF('Orçamento Anual'!B:B,A55,'Orçamento Anual'!D:D))</f>
        <v/>
      </c>
      <c r="C55" t="str">
        <f>IF(A55="","",SUMIF(Realizado!D:D,A55,Realizado!E:E))</f>
        <v/>
      </c>
      <c r="D55" t="str">
        <f t="shared" si="0"/>
        <v/>
      </c>
    </row>
    <row r="56" spans="2:4" x14ac:dyDescent="0.25">
      <c r="B56" t="str">
        <f>IF(A56="","",SUMIF('Orçamento Anual'!B:B,A56,'Orçamento Anual'!D:D))</f>
        <v/>
      </c>
      <c r="C56" t="str">
        <f>IF(A56="","",SUMIF(Realizado!D:D,A56,Realizado!E:E))</f>
        <v/>
      </c>
      <c r="D56" t="str">
        <f t="shared" si="0"/>
        <v/>
      </c>
    </row>
    <row r="57" spans="2:4" x14ac:dyDescent="0.25">
      <c r="B57" t="str">
        <f>IF(A57="","",SUMIF('Orçamento Anual'!B:B,A57,'Orçamento Anual'!D:D))</f>
        <v/>
      </c>
      <c r="C57" t="str">
        <f>IF(A57="","",SUMIF(Realizado!D:D,A57,Realizado!E:E))</f>
        <v/>
      </c>
      <c r="D57" t="str">
        <f t="shared" si="0"/>
        <v/>
      </c>
    </row>
    <row r="58" spans="2:4" x14ac:dyDescent="0.25">
      <c r="B58" t="str">
        <f>IF(A58="","",SUMIF('Orçamento Anual'!B:B,A58,'Orçamento Anual'!D:D))</f>
        <v/>
      </c>
      <c r="C58" t="str">
        <f>IF(A58="","",SUMIF(Realizado!D:D,A58,Realizado!E:E))</f>
        <v/>
      </c>
      <c r="D58" t="str">
        <f t="shared" si="0"/>
        <v/>
      </c>
    </row>
    <row r="59" spans="2:4" x14ac:dyDescent="0.25">
      <c r="B59" t="str">
        <f>IF(A59="","",SUMIF('Orçamento Anual'!B:B,A59,'Orçamento Anual'!D:D))</f>
        <v/>
      </c>
      <c r="C59" t="str">
        <f>IF(A59="","",SUMIF(Realizado!D:D,A59,Realizado!E:E))</f>
        <v/>
      </c>
      <c r="D59" t="str">
        <f t="shared" si="0"/>
        <v/>
      </c>
    </row>
    <row r="60" spans="2:4" x14ac:dyDescent="0.25">
      <c r="B60" t="str">
        <f>IF(A60="","",SUMIF('Orçamento Anual'!B:B,A60,'Orçamento Anual'!D:D))</f>
        <v/>
      </c>
      <c r="C60" t="str">
        <f>IF(A60="","",SUMIF(Realizado!D:D,A60,Realizado!E:E))</f>
        <v/>
      </c>
      <c r="D60" t="str">
        <f t="shared" si="0"/>
        <v/>
      </c>
    </row>
    <row r="61" spans="2:4" x14ac:dyDescent="0.25">
      <c r="B61" t="str">
        <f>IF(A61="","",SUMIF('Orçamento Anual'!B:B,A61,'Orçamento Anual'!D:D))</f>
        <v/>
      </c>
      <c r="C61" t="str">
        <f>IF(A61="","",SUMIF(Realizado!D:D,A61,Realizado!E:E))</f>
        <v/>
      </c>
      <c r="D61" t="str">
        <f t="shared" si="0"/>
        <v/>
      </c>
    </row>
    <row r="62" spans="2:4" x14ac:dyDescent="0.25">
      <c r="B62" t="str">
        <f>IF(A62="","",SUMIF('Orçamento Anual'!B:B,A62,'Orçamento Anual'!D:D))</f>
        <v/>
      </c>
      <c r="C62" t="str">
        <f>IF(A62="","",SUMIF(Realizado!D:D,A62,Realizado!E:E))</f>
        <v/>
      </c>
      <c r="D62" t="str">
        <f t="shared" si="0"/>
        <v/>
      </c>
    </row>
    <row r="63" spans="2:4" x14ac:dyDescent="0.25">
      <c r="B63" t="str">
        <f>IF(A63="","",SUMIF('Orçamento Anual'!B:B,A63,'Orçamento Anual'!D:D))</f>
        <v/>
      </c>
      <c r="C63" t="str">
        <f>IF(A63="","",SUMIF(Realizado!D:D,A63,Realizado!E:E))</f>
        <v/>
      </c>
      <c r="D63" t="str">
        <f t="shared" si="0"/>
        <v/>
      </c>
    </row>
    <row r="64" spans="2:4" x14ac:dyDescent="0.25">
      <c r="B64" t="str">
        <f>IF(A64="","",SUMIF('Orçamento Anual'!B:B,A64,'Orçamento Anual'!D:D))</f>
        <v/>
      </c>
      <c r="C64" t="str">
        <f>IF(A64="","",SUMIF(Realizado!D:D,A64,Realizado!E:E))</f>
        <v/>
      </c>
      <c r="D64" t="str">
        <f t="shared" si="0"/>
        <v/>
      </c>
    </row>
    <row r="65" spans="2:4" x14ac:dyDescent="0.25">
      <c r="B65" t="str">
        <f>IF(A65="","",SUMIF('Orçamento Anual'!B:B,A65,'Orçamento Anual'!D:D))</f>
        <v/>
      </c>
      <c r="C65" t="str">
        <f>IF(A65="","",SUMIF(Realizado!D:D,A65,Realizado!E:E))</f>
        <v/>
      </c>
      <c r="D65" t="str">
        <f t="shared" si="0"/>
        <v/>
      </c>
    </row>
    <row r="66" spans="2:4" x14ac:dyDescent="0.25">
      <c r="B66" t="str">
        <f>IF(A66="","",SUMIF('Orçamento Anual'!B:B,A66,'Orçamento Anual'!D:D))</f>
        <v/>
      </c>
      <c r="C66" t="str">
        <f>IF(A66="","",SUMIF(Realizado!D:D,A66,Realizado!E:E))</f>
        <v/>
      </c>
      <c r="D66" t="str">
        <f t="shared" ref="D66:D129" si="1">IF(A66="","",C66-B66)</f>
        <v/>
      </c>
    </row>
    <row r="67" spans="2:4" x14ac:dyDescent="0.25">
      <c r="B67" t="str">
        <f>IF(A67="","",SUMIF('Orçamento Anual'!B:B,A67,'Orçamento Anual'!D:D))</f>
        <v/>
      </c>
      <c r="C67" t="str">
        <f>IF(A67="","",SUMIF(Realizado!D:D,A67,Realizado!E:E))</f>
        <v/>
      </c>
      <c r="D67" t="str">
        <f t="shared" si="1"/>
        <v/>
      </c>
    </row>
    <row r="68" spans="2:4" x14ac:dyDescent="0.25">
      <c r="B68" t="str">
        <f>IF(A68="","",SUMIF('Orçamento Anual'!B:B,A68,'Orçamento Anual'!D:D))</f>
        <v/>
      </c>
      <c r="C68" t="str">
        <f>IF(A68="","",SUMIF(Realizado!D:D,A68,Realizado!E:E))</f>
        <v/>
      </c>
      <c r="D68" t="str">
        <f t="shared" si="1"/>
        <v/>
      </c>
    </row>
    <row r="69" spans="2:4" x14ac:dyDescent="0.25">
      <c r="B69" t="str">
        <f>IF(A69="","",SUMIF('Orçamento Anual'!B:B,A69,'Orçamento Anual'!D:D))</f>
        <v/>
      </c>
      <c r="C69" t="str">
        <f>IF(A69="","",SUMIF(Realizado!D:D,A69,Realizado!E:E))</f>
        <v/>
      </c>
      <c r="D69" t="str">
        <f t="shared" si="1"/>
        <v/>
      </c>
    </row>
    <row r="70" spans="2:4" x14ac:dyDescent="0.25">
      <c r="B70" t="str">
        <f>IF(A70="","",SUMIF('Orçamento Anual'!B:B,A70,'Orçamento Anual'!D:D))</f>
        <v/>
      </c>
      <c r="C70" t="str">
        <f>IF(A70="","",SUMIF(Realizado!D:D,A70,Realizado!E:E))</f>
        <v/>
      </c>
      <c r="D70" t="str">
        <f t="shared" si="1"/>
        <v/>
      </c>
    </row>
    <row r="71" spans="2:4" x14ac:dyDescent="0.25">
      <c r="B71" t="str">
        <f>IF(A71="","",SUMIF('Orçamento Anual'!B:B,A71,'Orçamento Anual'!D:D))</f>
        <v/>
      </c>
      <c r="C71" t="str">
        <f>IF(A71="","",SUMIF(Realizado!D:D,A71,Realizado!E:E))</f>
        <v/>
      </c>
      <c r="D71" t="str">
        <f t="shared" si="1"/>
        <v/>
      </c>
    </row>
    <row r="72" spans="2:4" x14ac:dyDescent="0.25">
      <c r="B72" t="str">
        <f>IF(A72="","",SUMIF('Orçamento Anual'!B:B,A72,'Orçamento Anual'!D:D))</f>
        <v/>
      </c>
      <c r="C72" t="str">
        <f>IF(A72="","",SUMIF(Realizado!D:D,A72,Realizado!E:E))</f>
        <v/>
      </c>
      <c r="D72" t="str">
        <f t="shared" si="1"/>
        <v/>
      </c>
    </row>
    <row r="73" spans="2:4" x14ac:dyDescent="0.25">
      <c r="B73" t="str">
        <f>IF(A73="","",SUMIF('Orçamento Anual'!B:B,A73,'Orçamento Anual'!D:D))</f>
        <v/>
      </c>
      <c r="C73" t="str">
        <f>IF(A73="","",SUMIF(Realizado!D:D,A73,Realizado!E:E))</f>
        <v/>
      </c>
      <c r="D73" t="str">
        <f t="shared" si="1"/>
        <v/>
      </c>
    </row>
    <row r="74" spans="2:4" x14ac:dyDescent="0.25">
      <c r="B74" t="str">
        <f>IF(A74="","",SUMIF('Orçamento Anual'!B:B,A74,'Orçamento Anual'!D:D))</f>
        <v/>
      </c>
      <c r="C74" t="str">
        <f>IF(A74="","",SUMIF(Realizado!D:D,A74,Realizado!E:E))</f>
        <v/>
      </c>
      <c r="D74" t="str">
        <f t="shared" si="1"/>
        <v/>
      </c>
    </row>
    <row r="75" spans="2:4" x14ac:dyDescent="0.25">
      <c r="B75" t="str">
        <f>IF(A75="","",SUMIF('Orçamento Anual'!B:B,A75,'Orçamento Anual'!D:D))</f>
        <v/>
      </c>
      <c r="C75" t="str">
        <f>IF(A75="","",SUMIF(Realizado!D:D,A75,Realizado!E:E))</f>
        <v/>
      </c>
      <c r="D75" t="str">
        <f t="shared" si="1"/>
        <v/>
      </c>
    </row>
    <row r="76" spans="2:4" x14ac:dyDescent="0.25">
      <c r="B76" t="str">
        <f>IF(A76="","",SUMIF('Orçamento Anual'!B:B,A76,'Orçamento Anual'!D:D))</f>
        <v/>
      </c>
      <c r="C76" t="str">
        <f>IF(A76="","",SUMIF(Realizado!D:D,A76,Realizado!E:E))</f>
        <v/>
      </c>
      <c r="D76" t="str">
        <f t="shared" si="1"/>
        <v/>
      </c>
    </row>
    <row r="77" spans="2:4" x14ac:dyDescent="0.25">
      <c r="B77" t="str">
        <f>IF(A77="","",SUMIF('Orçamento Anual'!B:B,A77,'Orçamento Anual'!D:D))</f>
        <v/>
      </c>
      <c r="C77" t="str">
        <f>IF(A77="","",SUMIF(Realizado!D:D,A77,Realizado!E:E))</f>
        <v/>
      </c>
      <c r="D77" t="str">
        <f t="shared" si="1"/>
        <v/>
      </c>
    </row>
    <row r="78" spans="2:4" x14ac:dyDescent="0.25">
      <c r="B78" t="str">
        <f>IF(A78="","",SUMIF('Orçamento Anual'!B:B,A78,'Orçamento Anual'!D:D))</f>
        <v/>
      </c>
      <c r="C78" t="str">
        <f>IF(A78="","",SUMIF(Realizado!D:D,A78,Realizado!E:E))</f>
        <v/>
      </c>
      <c r="D78" t="str">
        <f t="shared" si="1"/>
        <v/>
      </c>
    </row>
    <row r="79" spans="2:4" x14ac:dyDescent="0.25">
      <c r="B79" t="str">
        <f>IF(A79="","",SUMIF('Orçamento Anual'!B:B,A79,'Orçamento Anual'!D:D))</f>
        <v/>
      </c>
      <c r="C79" t="str">
        <f>IF(A79="","",SUMIF(Realizado!D:D,A79,Realizado!E:E))</f>
        <v/>
      </c>
      <c r="D79" t="str">
        <f t="shared" si="1"/>
        <v/>
      </c>
    </row>
    <row r="80" spans="2:4" x14ac:dyDescent="0.25">
      <c r="B80" t="str">
        <f>IF(A80="","",SUMIF('Orçamento Anual'!B:B,A80,'Orçamento Anual'!D:D))</f>
        <v/>
      </c>
      <c r="C80" t="str">
        <f>IF(A80="","",SUMIF(Realizado!D:D,A80,Realizado!E:E))</f>
        <v/>
      </c>
      <c r="D80" t="str">
        <f t="shared" si="1"/>
        <v/>
      </c>
    </row>
    <row r="81" spans="2:4" x14ac:dyDescent="0.25">
      <c r="B81" t="str">
        <f>IF(A81="","",SUMIF('Orçamento Anual'!B:B,A81,'Orçamento Anual'!D:D))</f>
        <v/>
      </c>
      <c r="C81" t="str">
        <f>IF(A81="","",SUMIF(Realizado!D:D,A81,Realizado!E:E))</f>
        <v/>
      </c>
      <c r="D81" t="str">
        <f t="shared" si="1"/>
        <v/>
      </c>
    </row>
    <row r="82" spans="2:4" x14ac:dyDescent="0.25">
      <c r="B82" t="str">
        <f>IF(A82="","",SUMIF('Orçamento Anual'!B:B,A82,'Orçamento Anual'!D:D))</f>
        <v/>
      </c>
      <c r="C82" t="str">
        <f>IF(A82="","",SUMIF(Realizado!D:D,A82,Realizado!E:E))</f>
        <v/>
      </c>
      <c r="D82" t="str">
        <f t="shared" si="1"/>
        <v/>
      </c>
    </row>
    <row r="83" spans="2:4" x14ac:dyDescent="0.25">
      <c r="B83" t="str">
        <f>IF(A83="","",SUMIF('Orçamento Anual'!B:B,A83,'Orçamento Anual'!D:D))</f>
        <v/>
      </c>
      <c r="C83" t="str">
        <f>IF(A83="","",SUMIF(Realizado!D:D,A83,Realizado!E:E))</f>
        <v/>
      </c>
      <c r="D83" t="str">
        <f t="shared" si="1"/>
        <v/>
      </c>
    </row>
    <row r="84" spans="2:4" x14ac:dyDescent="0.25">
      <c r="B84" t="str">
        <f>IF(A84="","",SUMIF('Orçamento Anual'!B:B,A84,'Orçamento Anual'!D:D))</f>
        <v/>
      </c>
      <c r="C84" t="str">
        <f>IF(A84="","",SUMIF(Realizado!D:D,A84,Realizado!E:E))</f>
        <v/>
      </c>
      <c r="D84" t="str">
        <f t="shared" si="1"/>
        <v/>
      </c>
    </row>
    <row r="85" spans="2:4" x14ac:dyDescent="0.25">
      <c r="B85" t="str">
        <f>IF(A85="","",SUMIF('Orçamento Anual'!B:B,A85,'Orçamento Anual'!D:D))</f>
        <v/>
      </c>
      <c r="C85" t="str">
        <f>IF(A85="","",SUMIF(Realizado!D:D,A85,Realizado!E:E))</f>
        <v/>
      </c>
      <c r="D85" t="str">
        <f t="shared" si="1"/>
        <v/>
      </c>
    </row>
    <row r="86" spans="2:4" x14ac:dyDescent="0.25">
      <c r="B86" t="str">
        <f>IF(A86="","",SUMIF('Orçamento Anual'!B:B,A86,'Orçamento Anual'!D:D))</f>
        <v/>
      </c>
      <c r="C86" t="str">
        <f>IF(A86="","",SUMIF(Realizado!D:D,A86,Realizado!E:E))</f>
        <v/>
      </c>
      <c r="D86" t="str">
        <f t="shared" si="1"/>
        <v/>
      </c>
    </row>
    <row r="87" spans="2:4" x14ac:dyDescent="0.25">
      <c r="B87" t="str">
        <f>IF(A87="","",SUMIF('Orçamento Anual'!B:B,A87,'Orçamento Anual'!D:D))</f>
        <v/>
      </c>
      <c r="C87" t="str">
        <f>IF(A87="","",SUMIF(Realizado!D:D,A87,Realizado!E:E))</f>
        <v/>
      </c>
      <c r="D87" t="str">
        <f t="shared" si="1"/>
        <v/>
      </c>
    </row>
    <row r="88" spans="2:4" x14ac:dyDescent="0.25">
      <c r="B88" t="str">
        <f>IF(A88="","",SUMIF('Orçamento Anual'!B:B,A88,'Orçamento Anual'!D:D))</f>
        <v/>
      </c>
      <c r="C88" t="str">
        <f>IF(A88="","",SUMIF(Realizado!D:D,A88,Realizado!E:E))</f>
        <v/>
      </c>
      <c r="D88" t="str">
        <f t="shared" si="1"/>
        <v/>
      </c>
    </row>
    <row r="89" spans="2:4" x14ac:dyDescent="0.25">
      <c r="B89" t="str">
        <f>IF(A89="","",SUMIF('Orçamento Anual'!B:B,A89,'Orçamento Anual'!D:D))</f>
        <v/>
      </c>
      <c r="C89" t="str">
        <f>IF(A89="","",SUMIF(Realizado!D:D,A89,Realizado!E:E))</f>
        <v/>
      </c>
      <c r="D89" t="str">
        <f t="shared" si="1"/>
        <v/>
      </c>
    </row>
    <row r="90" spans="2:4" x14ac:dyDescent="0.25">
      <c r="B90" t="str">
        <f>IF(A90="","",SUMIF('Orçamento Anual'!B:B,A90,'Orçamento Anual'!D:D))</f>
        <v/>
      </c>
      <c r="C90" t="str">
        <f>IF(A90="","",SUMIF(Realizado!D:D,A90,Realizado!E:E))</f>
        <v/>
      </c>
      <c r="D90" t="str">
        <f t="shared" si="1"/>
        <v/>
      </c>
    </row>
    <row r="91" spans="2:4" x14ac:dyDescent="0.25">
      <c r="B91" t="str">
        <f>IF(A91="","",SUMIF('Orçamento Anual'!B:B,A91,'Orçamento Anual'!D:D))</f>
        <v/>
      </c>
      <c r="C91" t="str">
        <f>IF(A91="","",SUMIF(Realizado!D:D,A91,Realizado!E:E))</f>
        <v/>
      </c>
      <c r="D91" t="str">
        <f t="shared" si="1"/>
        <v/>
      </c>
    </row>
    <row r="92" spans="2:4" x14ac:dyDescent="0.25">
      <c r="B92" t="str">
        <f>IF(A92="","",SUMIF('Orçamento Anual'!B:B,A92,'Orçamento Anual'!D:D))</f>
        <v/>
      </c>
      <c r="C92" t="str">
        <f>IF(A92="","",SUMIF(Realizado!D:D,A92,Realizado!E:E))</f>
        <v/>
      </c>
      <c r="D92" t="str">
        <f t="shared" si="1"/>
        <v/>
      </c>
    </row>
    <row r="93" spans="2:4" x14ac:dyDescent="0.25">
      <c r="B93" t="str">
        <f>IF(A93="","",SUMIF('Orçamento Anual'!B:B,A93,'Orçamento Anual'!D:D))</f>
        <v/>
      </c>
      <c r="C93" t="str">
        <f>IF(A93="","",SUMIF(Realizado!D:D,A93,Realizado!E:E))</f>
        <v/>
      </c>
      <c r="D93" t="str">
        <f t="shared" si="1"/>
        <v/>
      </c>
    </row>
    <row r="94" spans="2:4" x14ac:dyDescent="0.25">
      <c r="B94" t="str">
        <f>IF(A94="","",SUMIF('Orçamento Anual'!B:B,A94,'Orçamento Anual'!D:D))</f>
        <v/>
      </c>
      <c r="C94" t="str">
        <f>IF(A94="","",SUMIF(Realizado!D:D,A94,Realizado!E:E))</f>
        <v/>
      </c>
      <c r="D94" t="str">
        <f t="shared" si="1"/>
        <v/>
      </c>
    </row>
    <row r="95" spans="2:4" x14ac:dyDescent="0.25">
      <c r="B95" t="str">
        <f>IF(A95="","",SUMIF('Orçamento Anual'!B:B,A95,'Orçamento Anual'!D:D))</f>
        <v/>
      </c>
      <c r="C95" t="str">
        <f>IF(A95="","",SUMIF(Realizado!D:D,A95,Realizado!E:E))</f>
        <v/>
      </c>
      <c r="D95" t="str">
        <f t="shared" si="1"/>
        <v/>
      </c>
    </row>
    <row r="96" spans="2:4" x14ac:dyDescent="0.25">
      <c r="B96" t="str">
        <f>IF(A96="","",SUMIF('Orçamento Anual'!B:B,A96,'Orçamento Anual'!D:D))</f>
        <v/>
      </c>
      <c r="C96" t="str">
        <f>IF(A96="","",SUMIF(Realizado!D:D,A96,Realizado!E:E))</f>
        <v/>
      </c>
      <c r="D96" t="str">
        <f t="shared" si="1"/>
        <v/>
      </c>
    </row>
    <row r="97" spans="2:4" x14ac:dyDescent="0.25">
      <c r="B97" t="str">
        <f>IF(A97="","",SUMIF('Orçamento Anual'!B:B,A97,'Orçamento Anual'!D:D))</f>
        <v/>
      </c>
      <c r="C97" t="str">
        <f>IF(A97="","",SUMIF(Realizado!D:D,A97,Realizado!E:E))</f>
        <v/>
      </c>
      <c r="D97" t="str">
        <f t="shared" si="1"/>
        <v/>
      </c>
    </row>
    <row r="98" spans="2:4" x14ac:dyDescent="0.25">
      <c r="B98" t="str">
        <f>IF(A98="","",SUMIF('Orçamento Anual'!B:B,A98,'Orçamento Anual'!D:D))</f>
        <v/>
      </c>
      <c r="C98" t="str">
        <f>IF(A98="","",SUMIF(Realizado!D:D,A98,Realizado!E:E))</f>
        <v/>
      </c>
      <c r="D98" t="str">
        <f t="shared" si="1"/>
        <v/>
      </c>
    </row>
    <row r="99" spans="2:4" x14ac:dyDescent="0.25">
      <c r="B99" t="str">
        <f>IF(A99="","",SUMIF('Orçamento Anual'!B:B,A99,'Orçamento Anual'!D:D))</f>
        <v/>
      </c>
      <c r="C99" t="str">
        <f>IF(A99="","",SUMIF(Realizado!D:D,A99,Realizado!E:E))</f>
        <v/>
      </c>
      <c r="D99" t="str">
        <f t="shared" si="1"/>
        <v/>
      </c>
    </row>
    <row r="100" spans="2:4" x14ac:dyDescent="0.25">
      <c r="B100" t="str">
        <f>IF(A100="","",SUMIF('Orçamento Anual'!B:B,A100,'Orçamento Anual'!D:D))</f>
        <v/>
      </c>
      <c r="C100" t="str">
        <f>IF(A100="","",SUMIF(Realizado!D:D,A100,Realizado!E:E))</f>
        <v/>
      </c>
      <c r="D100" t="str">
        <f t="shared" si="1"/>
        <v/>
      </c>
    </row>
    <row r="101" spans="2:4" x14ac:dyDescent="0.25">
      <c r="B101" t="str">
        <f>IF(A101="","",SUMIF('Orçamento Anual'!B:B,A101,'Orçamento Anual'!D:D))</f>
        <v/>
      </c>
      <c r="C101" t="str">
        <f>IF(A101="","",SUMIF(Realizado!D:D,A101,Realizado!E:E))</f>
        <v/>
      </c>
      <c r="D101" t="str">
        <f t="shared" si="1"/>
        <v/>
      </c>
    </row>
    <row r="102" spans="2:4" x14ac:dyDescent="0.25">
      <c r="B102" t="str">
        <f>IF(A102="","",SUMIF('Orçamento Anual'!B:B,A102,'Orçamento Anual'!D:D))</f>
        <v/>
      </c>
      <c r="C102" t="str">
        <f>IF(A102="","",SUMIF(Realizado!D:D,A102,Realizado!E:E))</f>
        <v/>
      </c>
      <c r="D102" t="str">
        <f t="shared" si="1"/>
        <v/>
      </c>
    </row>
    <row r="103" spans="2:4" x14ac:dyDescent="0.25">
      <c r="B103" t="str">
        <f>IF(A103="","",SUMIF('Orçamento Anual'!B:B,A103,'Orçamento Anual'!D:D))</f>
        <v/>
      </c>
      <c r="C103" t="str">
        <f>IF(A103="","",SUMIF(Realizado!D:D,A103,Realizado!E:E))</f>
        <v/>
      </c>
      <c r="D103" t="str">
        <f t="shared" si="1"/>
        <v/>
      </c>
    </row>
    <row r="104" spans="2:4" x14ac:dyDescent="0.25">
      <c r="B104" t="str">
        <f>IF(A104="","",SUMIF('Orçamento Anual'!B:B,A104,'Orçamento Anual'!D:D))</f>
        <v/>
      </c>
      <c r="C104" t="str">
        <f>IF(A104="","",SUMIF(Realizado!D:D,A104,Realizado!E:E))</f>
        <v/>
      </c>
      <c r="D104" t="str">
        <f t="shared" si="1"/>
        <v/>
      </c>
    </row>
    <row r="105" spans="2:4" x14ac:dyDescent="0.25">
      <c r="B105" t="str">
        <f>IF(A105="","",SUMIF('Orçamento Anual'!B:B,A105,'Orçamento Anual'!D:D))</f>
        <v/>
      </c>
      <c r="C105" t="str">
        <f>IF(A105="","",SUMIF(Realizado!D:D,A105,Realizado!E:E))</f>
        <v/>
      </c>
      <c r="D105" t="str">
        <f t="shared" si="1"/>
        <v/>
      </c>
    </row>
    <row r="106" spans="2:4" x14ac:dyDescent="0.25">
      <c r="B106" t="str">
        <f>IF(A106="","",SUMIF('Orçamento Anual'!B:B,A106,'Orçamento Anual'!D:D))</f>
        <v/>
      </c>
      <c r="C106" t="str">
        <f>IF(A106="","",SUMIF(Realizado!D:D,A106,Realizado!E:E))</f>
        <v/>
      </c>
      <c r="D106" t="str">
        <f t="shared" si="1"/>
        <v/>
      </c>
    </row>
    <row r="107" spans="2:4" x14ac:dyDescent="0.25">
      <c r="B107" t="str">
        <f>IF(A107="","",SUMIF('Orçamento Anual'!B:B,A107,'Orçamento Anual'!D:D))</f>
        <v/>
      </c>
      <c r="C107" t="str">
        <f>IF(A107="","",SUMIF(Realizado!D:D,A107,Realizado!E:E))</f>
        <v/>
      </c>
      <c r="D107" t="str">
        <f t="shared" si="1"/>
        <v/>
      </c>
    </row>
    <row r="108" spans="2:4" x14ac:dyDescent="0.25">
      <c r="B108" t="str">
        <f>IF(A108="","",SUMIF('Orçamento Anual'!B:B,A108,'Orçamento Anual'!D:D))</f>
        <v/>
      </c>
      <c r="C108" t="str">
        <f>IF(A108="","",SUMIF(Realizado!D:D,A108,Realizado!E:E))</f>
        <v/>
      </c>
      <c r="D108" t="str">
        <f t="shared" si="1"/>
        <v/>
      </c>
    </row>
    <row r="109" spans="2:4" x14ac:dyDescent="0.25">
      <c r="B109" t="str">
        <f>IF(A109="","",SUMIF('Orçamento Anual'!B:B,A109,'Orçamento Anual'!D:D))</f>
        <v/>
      </c>
      <c r="C109" t="str">
        <f>IF(A109="","",SUMIF(Realizado!D:D,A109,Realizado!E:E))</f>
        <v/>
      </c>
      <c r="D109" t="str">
        <f t="shared" si="1"/>
        <v/>
      </c>
    </row>
    <row r="110" spans="2:4" x14ac:dyDescent="0.25">
      <c r="B110" t="str">
        <f>IF(A110="","",SUMIF('Orçamento Anual'!B:B,A110,'Orçamento Anual'!D:D))</f>
        <v/>
      </c>
      <c r="C110" t="str">
        <f>IF(A110="","",SUMIF(Realizado!D:D,A110,Realizado!E:E))</f>
        <v/>
      </c>
      <c r="D110" t="str">
        <f t="shared" si="1"/>
        <v/>
      </c>
    </row>
    <row r="111" spans="2:4" x14ac:dyDescent="0.25">
      <c r="B111" t="str">
        <f>IF(A111="","",SUMIF('Orçamento Anual'!B:B,A111,'Orçamento Anual'!D:D))</f>
        <v/>
      </c>
      <c r="C111" t="str">
        <f>IF(A111="","",SUMIF(Realizado!D:D,A111,Realizado!E:E))</f>
        <v/>
      </c>
      <c r="D111" t="str">
        <f t="shared" si="1"/>
        <v/>
      </c>
    </row>
    <row r="112" spans="2:4" x14ac:dyDescent="0.25">
      <c r="B112" t="str">
        <f>IF(A112="","",SUMIF('Orçamento Anual'!B:B,A112,'Orçamento Anual'!D:D))</f>
        <v/>
      </c>
      <c r="C112" t="str">
        <f>IF(A112="","",SUMIF(Realizado!D:D,A112,Realizado!E:E))</f>
        <v/>
      </c>
      <c r="D112" t="str">
        <f t="shared" si="1"/>
        <v/>
      </c>
    </row>
    <row r="113" spans="2:4" x14ac:dyDescent="0.25">
      <c r="B113" t="str">
        <f>IF(A113="","",SUMIF('Orçamento Anual'!B:B,A113,'Orçamento Anual'!D:D))</f>
        <v/>
      </c>
      <c r="C113" t="str">
        <f>IF(A113="","",SUMIF(Realizado!D:D,A113,Realizado!E:E))</f>
        <v/>
      </c>
      <c r="D113" t="str">
        <f t="shared" si="1"/>
        <v/>
      </c>
    </row>
    <row r="114" spans="2:4" x14ac:dyDescent="0.25">
      <c r="B114" t="str">
        <f>IF(A114="","",SUMIF('Orçamento Anual'!B:B,A114,'Orçamento Anual'!D:D))</f>
        <v/>
      </c>
      <c r="C114" t="str">
        <f>IF(A114="","",SUMIF(Realizado!D:D,A114,Realizado!E:E))</f>
        <v/>
      </c>
      <c r="D114" t="str">
        <f t="shared" si="1"/>
        <v/>
      </c>
    </row>
    <row r="115" spans="2:4" x14ac:dyDescent="0.25">
      <c r="B115" t="str">
        <f>IF(A115="","",SUMIF('Orçamento Anual'!B:B,A115,'Orçamento Anual'!D:D))</f>
        <v/>
      </c>
      <c r="C115" t="str">
        <f>IF(A115="","",SUMIF(Realizado!D:D,A115,Realizado!E:E))</f>
        <v/>
      </c>
      <c r="D115" t="str">
        <f t="shared" si="1"/>
        <v/>
      </c>
    </row>
    <row r="116" spans="2:4" x14ac:dyDescent="0.25">
      <c r="B116" t="str">
        <f>IF(A116="","",SUMIF('Orçamento Anual'!B:B,A116,'Orçamento Anual'!D:D))</f>
        <v/>
      </c>
      <c r="C116" t="str">
        <f>IF(A116="","",SUMIF(Realizado!D:D,A116,Realizado!E:E))</f>
        <v/>
      </c>
      <c r="D116" t="str">
        <f t="shared" si="1"/>
        <v/>
      </c>
    </row>
    <row r="117" spans="2:4" x14ac:dyDescent="0.25">
      <c r="B117" t="str">
        <f>IF(A117="","",SUMIF('Orçamento Anual'!B:B,A117,'Orçamento Anual'!D:D))</f>
        <v/>
      </c>
      <c r="C117" t="str">
        <f>IF(A117="","",SUMIF(Realizado!D:D,A117,Realizado!E:E))</f>
        <v/>
      </c>
      <c r="D117" t="str">
        <f t="shared" si="1"/>
        <v/>
      </c>
    </row>
    <row r="118" spans="2:4" x14ac:dyDescent="0.25">
      <c r="B118" t="str">
        <f>IF(A118="","",SUMIF('Orçamento Anual'!B:B,A118,'Orçamento Anual'!D:D))</f>
        <v/>
      </c>
      <c r="C118" t="str">
        <f>IF(A118="","",SUMIF(Realizado!D:D,A118,Realizado!E:E))</f>
        <v/>
      </c>
      <c r="D118" t="str">
        <f t="shared" si="1"/>
        <v/>
      </c>
    </row>
    <row r="119" spans="2:4" x14ac:dyDescent="0.25">
      <c r="B119" t="str">
        <f>IF(A119="","",SUMIF('Orçamento Anual'!B:B,A119,'Orçamento Anual'!D:D))</f>
        <v/>
      </c>
      <c r="C119" t="str">
        <f>IF(A119="","",SUMIF(Realizado!D:D,A119,Realizado!E:E))</f>
        <v/>
      </c>
      <c r="D119" t="str">
        <f t="shared" si="1"/>
        <v/>
      </c>
    </row>
    <row r="120" spans="2:4" x14ac:dyDescent="0.25">
      <c r="B120" t="str">
        <f>IF(A120="","",SUMIF('Orçamento Anual'!B:B,A120,'Orçamento Anual'!D:D))</f>
        <v/>
      </c>
      <c r="C120" t="str">
        <f>IF(A120="","",SUMIF(Realizado!D:D,A120,Realizado!E:E))</f>
        <v/>
      </c>
      <c r="D120" t="str">
        <f t="shared" si="1"/>
        <v/>
      </c>
    </row>
    <row r="121" spans="2:4" x14ac:dyDescent="0.25">
      <c r="B121" t="str">
        <f>IF(A121="","",SUMIF('Orçamento Anual'!B:B,A121,'Orçamento Anual'!D:D))</f>
        <v/>
      </c>
      <c r="C121" t="str">
        <f>IF(A121="","",SUMIF(Realizado!D:D,A121,Realizado!E:E))</f>
        <v/>
      </c>
      <c r="D121" t="str">
        <f t="shared" si="1"/>
        <v/>
      </c>
    </row>
    <row r="122" spans="2:4" x14ac:dyDescent="0.25">
      <c r="B122" t="str">
        <f>IF(A122="","",SUMIF('Orçamento Anual'!B:B,A122,'Orçamento Anual'!D:D))</f>
        <v/>
      </c>
      <c r="C122" t="str">
        <f>IF(A122="","",SUMIF(Realizado!D:D,A122,Realizado!E:E))</f>
        <v/>
      </c>
      <c r="D122" t="str">
        <f t="shared" si="1"/>
        <v/>
      </c>
    </row>
    <row r="123" spans="2:4" x14ac:dyDescent="0.25">
      <c r="B123" t="str">
        <f>IF(A123="","",SUMIF('Orçamento Anual'!B:B,A123,'Orçamento Anual'!D:D))</f>
        <v/>
      </c>
      <c r="C123" t="str">
        <f>IF(A123="","",SUMIF(Realizado!D:D,A123,Realizado!E:E))</f>
        <v/>
      </c>
      <c r="D123" t="str">
        <f t="shared" si="1"/>
        <v/>
      </c>
    </row>
    <row r="124" spans="2:4" x14ac:dyDescent="0.25">
      <c r="B124" t="str">
        <f>IF(A124="","",SUMIF('Orçamento Anual'!B:B,A124,'Orçamento Anual'!D:D))</f>
        <v/>
      </c>
      <c r="C124" t="str">
        <f>IF(A124="","",SUMIF(Realizado!D:D,A124,Realizado!E:E))</f>
        <v/>
      </c>
      <c r="D124" t="str">
        <f t="shared" si="1"/>
        <v/>
      </c>
    </row>
    <row r="125" spans="2:4" x14ac:dyDescent="0.25">
      <c r="B125" t="str">
        <f>IF(A125="","",SUMIF('Orçamento Anual'!B:B,A125,'Orçamento Anual'!D:D))</f>
        <v/>
      </c>
      <c r="C125" t="str">
        <f>IF(A125="","",SUMIF(Realizado!D:D,A125,Realizado!E:E))</f>
        <v/>
      </c>
      <c r="D125" t="str">
        <f t="shared" si="1"/>
        <v/>
      </c>
    </row>
    <row r="126" spans="2:4" x14ac:dyDescent="0.25">
      <c r="B126" t="str">
        <f>IF(A126="","",SUMIF('Orçamento Anual'!B:B,A126,'Orçamento Anual'!D:D))</f>
        <v/>
      </c>
      <c r="C126" t="str">
        <f>IF(A126="","",SUMIF(Realizado!D:D,A126,Realizado!E:E))</f>
        <v/>
      </c>
      <c r="D126" t="str">
        <f t="shared" si="1"/>
        <v/>
      </c>
    </row>
    <row r="127" spans="2:4" x14ac:dyDescent="0.25">
      <c r="B127" t="str">
        <f>IF(A127="","",SUMIF('Orçamento Anual'!B:B,A127,'Orçamento Anual'!D:D))</f>
        <v/>
      </c>
      <c r="C127" t="str">
        <f>IF(A127="","",SUMIF(Realizado!D:D,A127,Realizado!E:E))</f>
        <v/>
      </c>
      <c r="D127" t="str">
        <f t="shared" si="1"/>
        <v/>
      </c>
    </row>
    <row r="128" spans="2:4" x14ac:dyDescent="0.25">
      <c r="B128" t="str">
        <f>IF(A128="","",SUMIF('Orçamento Anual'!B:B,A128,'Orçamento Anual'!D:D))</f>
        <v/>
      </c>
      <c r="C128" t="str">
        <f>IF(A128="","",SUMIF(Realizado!D:D,A128,Realizado!E:E))</f>
        <v/>
      </c>
      <c r="D128" t="str">
        <f t="shared" si="1"/>
        <v/>
      </c>
    </row>
    <row r="129" spans="2:4" x14ac:dyDescent="0.25">
      <c r="B129" t="str">
        <f>IF(A129="","",SUMIF('Orçamento Anual'!B:B,A129,'Orçamento Anual'!D:D))</f>
        <v/>
      </c>
      <c r="C129" t="str">
        <f>IF(A129="","",SUMIF(Realizado!D:D,A129,Realizado!E:E))</f>
        <v/>
      </c>
      <c r="D129" t="str">
        <f t="shared" si="1"/>
        <v/>
      </c>
    </row>
    <row r="130" spans="2:4" x14ac:dyDescent="0.25">
      <c r="B130" t="str">
        <f>IF(A130="","",SUMIF('Orçamento Anual'!B:B,A130,'Orçamento Anual'!D:D))</f>
        <v/>
      </c>
      <c r="C130" t="str">
        <f>IF(A130="","",SUMIF(Realizado!D:D,A130,Realizado!E:E))</f>
        <v/>
      </c>
      <c r="D130" t="str">
        <f t="shared" ref="D130:D193" si="2">IF(A130="","",C130-B130)</f>
        <v/>
      </c>
    </row>
    <row r="131" spans="2:4" x14ac:dyDescent="0.25">
      <c r="B131" t="str">
        <f>IF(A131="","",SUMIF('Orçamento Anual'!B:B,A131,'Orçamento Anual'!D:D))</f>
        <v/>
      </c>
      <c r="C131" t="str">
        <f>IF(A131="","",SUMIF(Realizado!D:D,A131,Realizado!E:E))</f>
        <v/>
      </c>
      <c r="D131" t="str">
        <f t="shared" si="2"/>
        <v/>
      </c>
    </row>
    <row r="132" spans="2:4" x14ac:dyDescent="0.25">
      <c r="B132" t="str">
        <f>IF(A132="","",SUMIF('Orçamento Anual'!B:B,A132,'Orçamento Anual'!D:D))</f>
        <v/>
      </c>
      <c r="C132" t="str">
        <f>IF(A132="","",SUMIF(Realizado!D:D,A132,Realizado!E:E))</f>
        <v/>
      </c>
      <c r="D132" t="str">
        <f t="shared" si="2"/>
        <v/>
      </c>
    </row>
    <row r="133" spans="2:4" x14ac:dyDescent="0.25">
      <c r="B133" t="str">
        <f>IF(A133="","",SUMIF('Orçamento Anual'!B:B,A133,'Orçamento Anual'!D:D))</f>
        <v/>
      </c>
      <c r="C133" t="str">
        <f>IF(A133="","",SUMIF(Realizado!D:D,A133,Realizado!E:E))</f>
        <v/>
      </c>
      <c r="D133" t="str">
        <f t="shared" si="2"/>
        <v/>
      </c>
    </row>
    <row r="134" spans="2:4" x14ac:dyDescent="0.25">
      <c r="B134" t="str">
        <f>IF(A134="","",SUMIF('Orçamento Anual'!B:B,A134,'Orçamento Anual'!D:D))</f>
        <v/>
      </c>
      <c r="C134" t="str">
        <f>IF(A134="","",SUMIF(Realizado!D:D,A134,Realizado!E:E))</f>
        <v/>
      </c>
      <c r="D134" t="str">
        <f t="shared" si="2"/>
        <v/>
      </c>
    </row>
    <row r="135" spans="2:4" x14ac:dyDescent="0.25">
      <c r="B135" t="str">
        <f>IF(A135="","",SUMIF('Orçamento Anual'!B:B,A135,'Orçamento Anual'!D:D))</f>
        <v/>
      </c>
      <c r="C135" t="str">
        <f>IF(A135="","",SUMIF(Realizado!D:D,A135,Realizado!E:E))</f>
        <v/>
      </c>
      <c r="D135" t="str">
        <f t="shared" si="2"/>
        <v/>
      </c>
    </row>
    <row r="136" spans="2:4" x14ac:dyDescent="0.25">
      <c r="B136" t="str">
        <f>IF(A136="","",SUMIF('Orçamento Anual'!B:B,A136,'Orçamento Anual'!D:D))</f>
        <v/>
      </c>
      <c r="C136" t="str">
        <f>IF(A136="","",SUMIF(Realizado!D:D,A136,Realizado!E:E))</f>
        <v/>
      </c>
      <c r="D136" t="str">
        <f t="shared" si="2"/>
        <v/>
      </c>
    </row>
    <row r="137" spans="2:4" x14ac:dyDescent="0.25">
      <c r="B137" t="str">
        <f>IF(A137="","",SUMIF('Orçamento Anual'!B:B,A137,'Orçamento Anual'!D:D))</f>
        <v/>
      </c>
      <c r="C137" t="str">
        <f>IF(A137="","",SUMIF(Realizado!D:D,A137,Realizado!E:E))</f>
        <v/>
      </c>
      <c r="D137" t="str">
        <f t="shared" si="2"/>
        <v/>
      </c>
    </row>
    <row r="138" spans="2:4" x14ac:dyDescent="0.25">
      <c r="B138" t="str">
        <f>IF(A138="","",SUMIF('Orçamento Anual'!B:B,A138,'Orçamento Anual'!D:D))</f>
        <v/>
      </c>
      <c r="C138" t="str">
        <f>IF(A138="","",SUMIF(Realizado!D:D,A138,Realizado!E:E))</f>
        <v/>
      </c>
      <c r="D138" t="str">
        <f t="shared" si="2"/>
        <v/>
      </c>
    </row>
    <row r="139" spans="2:4" x14ac:dyDescent="0.25">
      <c r="B139" t="str">
        <f>IF(A139="","",SUMIF('Orçamento Anual'!B:B,A139,'Orçamento Anual'!D:D))</f>
        <v/>
      </c>
      <c r="C139" t="str">
        <f>IF(A139="","",SUMIF(Realizado!D:D,A139,Realizado!E:E))</f>
        <v/>
      </c>
      <c r="D139" t="str">
        <f t="shared" si="2"/>
        <v/>
      </c>
    </row>
    <row r="140" spans="2:4" x14ac:dyDescent="0.25">
      <c r="B140" t="str">
        <f>IF(A140="","",SUMIF('Orçamento Anual'!B:B,A140,'Orçamento Anual'!D:D))</f>
        <v/>
      </c>
      <c r="C140" t="str">
        <f>IF(A140="","",SUMIF(Realizado!D:D,A140,Realizado!E:E))</f>
        <v/>
      </c>
      <c r="D140" t="str">
        <f t="shared" si="2"/>
        <v/>
      </c>
    </row>
    <row r="141" spans="2:4" x14ac:dyDescent="0.25">
      <c r="B141" t="str">
        <f>IF(A141="","",SUMIF('Orçamento Anual'!B:B,A141,'Orçamento Anual'!D:D))</f>
        <v/>
      </c>
      <c r="C141" t="str">
        <f>IF(A141="","",SUMIF(Realizado!D:D,A141,Realizado!E:E))</f>
        <v/>
      </c>
      <c r="D141" t="str">
        <f t="shared" si="2"/>
        <v/>
      </c>
    </row>
    <row r="142" spans="2:4" x14ac:dyDescent="0.25">
      <c r="B142" t="str">
        <f>IF(A142="","",SUMIF('Orçamento Anual'!B:B,A142,'Orçamento Anual'!D:D))</f>
        <v/>
      </c>
      <c r="C142" t="str">
        <f>IF(A142="","",SUMIF(Realizado!D:D,A142,Realizado!E:E))</f>
        <v/>
      </c>
      <c r="D142" t="str">
        <f t="shared" si="2"/>
        <v/>
      </c>
    </row>
    <row r="143" spans="2:4" x14ac:dyDescent="0.25">
      <c r="B143" t="str">
        <f>IF(A143="","",SUMIF('Orçamento Anual'!B:B,A143,'Orçamento Anual'!D:D))</f>
        <v/>
      </c>
      <c r="C143" t="str">
        <f>IF(A143="","",SUMIF(Realizado!D:D,A143,Realizado!E:E))</f>
        <v/>
      </c>
      <c r="D143" t="str">
        <f t="shared" si="2"/>
        <v/>
      </c>
    </row>
    <row r="144" spans="2:4" x14ac:dyDescent="0.25">
      <c r="B144" t="str">
        <f>IF(A144="","",SUMIF('Orçamento Anual'!B:B,A144,'Orçamento Anual'!D:D))</f>
        <v/>
      </c>
      <c r="C144" t="str">
        <f>IF(A144="","",SUMIF(Realizado!D:D,A144,Realizado!E:E))</f>
        <v/>
      </c>
      <c r="D144" t="str">
        <f t="shared" si="2"/>
        <v/>
      </c>
    </row>
    <row r="145" spans="2:4" x14ac:dyDescent="0.25">
      <c r="B145" t="str">
        <f>IF(A145="","",SUMIF('Orçamento Anual'!B:B,A145,'Orçamento Anual'!D:D))</f>
        <v/>
      </c>
      <c r="C145" t="str">
        <f>IF(A145="","",SUMIF(Realizado!D:D,A145,Realizado!E:E))</f>
        <v/>
      </c>
      <c r="D145" t="str">
        <f t="shared" si="2"/>
        <v/>
      </c>
    </row>
    <row r="146" spans="2:4" x14ac:dyDescent="0.25">
      <c r="B146" t="str">
        <f>IF(A146="","",SUMIF('Orçamento Anual'!B:B,A146,'Orçamento Anual'!D:D))</f>
        <v/>
      </c>
      <c r="C146" t="str">
        <f>IF(A146="","",SUMIF(Realizado!D:D,A146,Realizado!E:E))</f>
        <v/>
      </c>
      <c r="D146" t="str">
        <f t="shared" si="2"/>
        <v/>
      </c>
    </row>
    <row r="147" spans="2:4" x14ac:dyDescent="0.25">
      <c r="B147" t="str">
        <f>IF(A147="","",SUMIF('Orçamento Anual'!B:B,A147,'Orçamento Anual'!D:D))</f>
        <v/>
      </c>
      <c r="C147" t="str">
        <f>IF(A147="","",SUMIF(Realizado!D:D,A147,Realizado!E:E))</f>
        <v/>
      </c>
      <c r="D147" t="str">
        <f t="shared" si="2"/>
        <v/>
      </c>
    </row>
    <row r="148" spans="2:4" x14ac:dyDescent="0.25">
      <c r="B148" t="str">
        <f>IF(A148="","",SUMIF('Orçamento Anual'!B:B,A148,'Orçamento Anual'!D:D))</f>
        <v/>
      </c>
      <c r="C148" t="str">
        <f>IF(A148="","",SUMIF(Realizado!D:D,A148,Realizado!E:E))</f>
        <v/>
      </c>
      <c r="D148" t="str">
        <f t="shared" si="2"/>
        <v/>
      </c>
    </row>
    <row r="149" spans="2:4" x14ac:dyDescent="0.25">
      <c r="B149" t="str">
        <f>IF(A149="","",SUMIF('Orçamento Anual'!B:B,A149,'Orçamento Anual'!D:D))</f>
        <v/>
      </c>
      <c r="C149" t="str">
        <f>IF(A149="","",SUMIF(Realizado!D:D,A149,Realizado!E:E))</f>
        <v/>
      </c>
      <c r="D149" t="str">
        <f t="shared" si="2"/>
        <v/>
      </c>
    </row>
    <row r="150" spans="2:4" x14ac:dyDescent="0.25">
      <c r="B150" t="str">
        <f>IF(A150="","",SUMIF('Orçamento Anual'!B:B,A150,'Orçamento Anual'!D:D))</f>
        <v/>
      </c>
      <c r="C150" t="str">
        <f>IF(A150="","",SUMIF(Realizado!D:D,A150,Realizado!E:E))</f>
        <v/>
      </c>
      <c r="D150" t="str">
        <f t="shared" si="2"/>
        <v/>
      </c>
    </row>
    <row r="151" spans="2:4" x14ac:dyDescent="0.25">
      <c r="B151" t="str">
        <f>IF(A151="","",SUMIF('Orçamento Anual'!B:B,A151,'Orçamento Anual'!D:D))</f>
        <v/>
      </c>
      <c r="C151" t="str">
        <f>IF(A151="","",SUMIF(Realizado!D:D,A151,Realizado!E:E))</f>
        <v/>
      </c>
      <c r="D151" t="str">
        <f t="shared" si="2"/>
        <v/>
      </c>
    </row>
    <row r="152" spans="2:4" x14ac:dyDescent="0.25">
      <c r="B152" t="str">
        <f>IF(A152="","",SUMIF('Orçamento Anual'!B:B,A152,'Orçamento Anual'!D:D))</f>
        <v/>
      </c>
      <c r="C152" t="str">
        <f>IF(A152="","",SUMIF(Realizado!D:D,A152,Realizado!E:E))</f>
        <v/>
      </c>
      <c r="D152" t="str">
        <f t="shared" si="2"/>
        <v/>
      </c>
    </row>
    <row r="153" spans="2:4" x14ac:dyDescent="0.25">
      <c r="B153" t="str">
        <f>IF(A153="","",SUMIF('Orçamento Anual'!B:B,A153,'Orçamento Anual'!D:D))</f>
        <v/>
      </c>
      <c r="C153" t="str">
        <f>IF(A153="","",SUMIF(Realizado!D:D,A153,Realizado!E:E))</f>
        <v/>
      </c>
      <c r="D153" t="str">
        <f t="shared" si="2"/>
        <v/>
      </c>
    </row>
    <row r="154" spans="2:4" x14ac:dyDescent="0.25">
      <c r="B154" t="str">
        <f>IF(A154="","",SUMIF('Orçamento Anual'!B:B,A154,'Orçamento Anual'!D:D))</f>
        <v/>
      </c>
      <c r="C154" t="str">
        <f>IF(A154="","",SUMIF(Realizado!D:D,A154,Realizado!E:E))</f>
        <v/>
      </c>
      <c r="D154" t="str">
        <f t="shared" si="2"/>
        <v/>
      </c>
    </row>
    <row r="155" spans="2:4" x14ac:dyDescent="0.25">
      <c r="B155" t="str">
        <f>IF(A155="","",SUMIF('Orçamento Anual'!B:B,A155,'Orçamento Anual'!D:D))</f>
        <v/>
      </c>
      <c r="C155" t="str">
        <f>IF(A155="","",SUMIF(Realizado!D:D,A155,Realizado!E:E))</f>
        <v/>
      </c>
      <c r="D155" t="str">
        <f t="shared" si="2"/>
        <v/>
      </c>
    </row>
    <row r="156" spans="2:4" x14ac:dyDescent="0.25">
      <c r="B156" t="str">
        <f>IF(A156="","",SUMIF('Orçamento Anual'!B:B,A156,'Orçamento Anual'!D:D))</f>
        <v/>
      </c>
      <c r="C156" t="str">
        <f>IF(A156="","",SUMIF(Realizado!D:D,A156,Realizado!E:E))</f>
        <v/>
      </c>
      <c r="D156" t="str">
        <f t="shared" si="2"/>
        <v/>
      </c>
    </row>
    <row r="157" spans="2:4" x14ac:dyDescent="0.25">
      <c r="B157" t="str">
        <f>IF(A157="","",SUMIF('Orçamento Anual'!B:B,A157,'Orçamento Anual'!D:D))</f>
        <v/>
      </c>
      <c r="C157" t="str">
        <f>IF(A157="","",SUMIF(Realizado!D:D,A157,Realizado!E:E))</f>
        <v/>
      </c>
      <c r="D157" t="str">
        <f t="shared" si="2"/>
        <v/>
      </c>
    </row>
    <row r="158" spans="2:4" x14ac:dyDescent="0.25">
      <c r="B158" t="str">
        <f>IF(A158="","",SUMIF('Orçamento Anual'!B:B,A158,'Orçamento Anual'!D:D))</f>
        <v/>
      </c>
      <c r="C158" t="str">
        <f>IF(A158="","",SUMIF(Realizado!D:D,A158,Realizado!E:E))</f>
        <v/>
      </c>
      <c r="D158" t="str">
        <f t="shared" si="2"/>
        <v/>
      </c>
    </row>
    <row r="159" spans="2:4" x14ac:dyDescent="0.25">
      <c r="B159" t="str">
        <f>IF(A159="","",SUMIF('Orçamento Anual'!B:B,A159,'Orçamento Anual'!D:D))</f>
        <v/>
      </c>
      <c r="C159" t="str">
        <f>IF(A159="","",SUMIF(Realizado!D:D,A159,Realizado!E:E))</f>
        <v/>
      </c>
      <c r="D159" t="str">
        <f t="shared" si="2"/>
        <v/>
      </c>
    </row>
    <row r="160" spans="2:4" x14ac:dyDescent="0.25">
      <c r="B160" t="str">
        <f>IF(A160="","",SUMIF('Orçamento Anual'!B:B,A160,'Orçamento Anual'!D:D))</f>
        <v/>
      </c>
      <c r="C160" t="str">
        <f>IF(A160="","",SUMIF(Realizado!D:D,A160,Realizado!E:E))</f>
        <v/>
      </c>
      <c r="D160" t="str">
        <f t="shared" si="2"/>
        <v/>
      </c>
    </row>
    <row r="161" spans="2:4" x14ac:dyDescent="0.25">
      <c r="B161" t="str">
        <f>IF(A161="","",SUMIF('Orçamento Anual'!B:B,A161,'Orçamento Anual'!D:D))</f>
        <v/>
      </c>
      <c r="C161" t="str">
        <f>IF(A161="","",SUMIF(Realizado!D:D,A161,Realizado!E:E))</f>
        <v/>
      </c>
      <c r="D161" t="str">
        <f t="shared" si="2"/>
        <v/>
      </c>
    </row>
    <row r="162" spans="2:4" x14ac:dyDescent="0.25">
      <c r="B162" t="str">
        <f>IF(A162="","",SUMIF('Orçamento Anual'!B:B,A162,'Orçamento Anual'!D:D))</f>
        <v/>
      </c>
      <c r="C162" t="str">
        <f>IF(A162="","",SUMIF(Realizado!D:D,A162,Realizado!E:E))</f>
        <v/>
      </c>
      <c r="D162" t="str">
        <f t="shared" si="2"/>
        <v/>
      </c>
    </row>
    <row r="163" spans="2:4" x14ac:dyDescent="0.25">
      <c r="B163" t="str">
        <f>IF(A163="","",SUMIF('Orçamento Anual'!B:B,A163,'Orçamento Anual'!D:D))</f>
        <v/>
      </c>
      <c r="C163" t="str">
        <f>IF(A163="","",SUMIF(Realizado!D:D,A163,Realizado!E:E))</f>
        <v/>
      </c>
      <c r="D163" t="str">
        <f t="shared" si="2"/>
        <v/>
      </c>
    </row>
    <row r="164" spans="2:4" x14ac:dyDescent="0.25">
      <c r="B164" t="str">
        <f>IF(A164="","",SUMIF('Orçamento Anual'!B:B,A164,'Orçamento Anual'!D:D))</f>
        <v/>
      </c>
      <c r="C164" t="str">
        <f>IF(A164="","",SUMIF(Realizado!D:D,A164,Realizado!E:E))</f>
        <v/>
      </c>
      <c r="D164" t="str">
        <f t="shared" si="2"/>
        <v/>
      </c>
    </row>
    <row r="165" spans="2:4" x14ac:dyDescent="0.25">
      <c r="B165" t="str">
        <f>IF(A165="","",SUMIF('Orçamento Anual'!B:B,A165,'Orçamento Anual'!D:D))</f>
        <v/>
      </c>
      <c r="C165" t="str">
        <f>IF(A165="","",SUMIF(Realizado!D:D,A165,Realizado!E:E))</f>
        <v/>
      </c>
      <c r="D165" t="str">
        <f t="shared" si="2"/>
        <v/>
      </c>
    </row>
    <row r="166" spans="2:4" x14ac:dyDescent="0.25">
      <c r="B166" t="str">
        <f>IF(A166="","",SUMIF('Orçamento Anual'!B:B,A166,'Orçamento Anual'!D:D))</f>
        <v/>
      </c>
      <c r="C166" t="str">
        <f>IF(A166="","",SUMIF(Realizado!D:D,A166,Realizado!E:E))</f>
        <v/>
      </c>
      <c r="D166" t="str">
        <f t="shared" si="2"/>
        <v/>
      </c>
    </row>
    <row r="167" spans="2:4" x14ac:dyDescent="0.25">
      <c r="B167" t="str">
        <f>IF(A167="","",SUMIF('Orçamento Anual'!B:B,A167,'Orçamento Anual'!D:D))</f>
        <v/>
      </c>
      <c r="C167" t="str">
        <f>IF(A167="","",SUMIF(Realizado!D:D,A167,Realizado!E:E))</f>
        <v/>
      </c>
      <c r="D167" t="str">
        <f t="shared" si="2"/>
        <v/>
      </c>
    </row>
    <row r="168" spans="2:4" x14ac:dyDescent="0.25">
      <c r="B168" t="str">
        <f>IF(A168="","",SUMIF('Orçamento Anual'!B:B,A168,'Orçamento Anual'!D:D))</f>
        <v/>
      </c>
      <c r="C168" t="str">
        <f>IF(A168="","",SUMIF(Realizado!D:D,A168,Realizado!E:E))</f>
        <v/>
      </c>
      <c r="D168" t="str">
        <f t="shared" si="2"/>
        <v/>
      </c>
    </row>
    <row r="169" spans="2:4" x14ac:dyDescent="0.25">
      <c r="B169" t="str">
        <f>IF(A169="","",SUMIF('Orçamento Anual'!B:B,A169,'Orçamento Anual'!D:D))</f>
        <v/>
      </c>
      <c r="C169" t="str">
        <f>IF(A169="","",SUMIF(Realizado!D:D,A169,Realizado!E:E))</f>
        <v/>
      </c>
      <c r="D169" t="str">
        <f t="shared" si="2"/>
        <v/>
      </c>
    </row>
    <row r="170" spans="2:4" x14ac:dyDescent="0.25">
      <c r="B170" t="str">
        <f>IF(A170="","",SUMIF('Orçamento Anual'!B:B,A170,'Orçamento Anual'!D:D))</f>
        <v/>
      </c>
      <c r="C170" t="str">
        <f>IF(A170="","",SUMIF(Realizado!D:D,A170,Realizado!E:E))</f>
        <v/>
      </c>
      <c r="D170" t="str">
        <f t="shared" si="2"/>
        <v/>
      </c>
    </row>
    <row r="171" spans="2:4" x14ac:dyDescent="0.25">
      <c r="B171" t="str">
        <f>IF(A171="","",SUMIF('Orçamento Anual'!B:B,A171,'Orçamento Anual'!D:D))</f>
        <v/>
      </c>
      <c r="C171" t="str">
        <f>IF(A171="","",SUMIF(Realizado!D:D,A171,Realizado!E:E))</f>
        <v/>
      </c>
      <c r="D171" t="str">
        <f t="shared" si="2"/>
        <v/>
      </c>
    </row>
    <row r="172" spans="2:4" x14ac:dyDescent="0.25">
      <c r="B172" t="str">
        <f>IF(A172="","",SUMIF('Orçamento Anual'!B:B,A172,'Orçamento Anual'!D:D))</f>
        <v/>
      </c>
      <c r="C172" t="str">
        <f>IF(A172="","",SUMIF(Realizado!D:D,A172,Realizado!E:E))</f>
        <v/>
      </c>
      <c r="D172" t="str">
        <f t="shared" si="2"/>
        <v/>
      </c>
    </row>
    <row r="173" spans="2:4" x14ac:dyDescent="0.25">
      <c r="B173" t="str">
        <f>IF(A173="","",SUMIF('Orçamento Anual'!B:B,A173,'Orçamento Anual'!D:D))</f>
        <v/>
      </c>
      <c r="C173" t="str">
        <f>IF(A173="","",SUMIF(Realizado!D:D,A173,Realizado!E:E))</f>
        <v/>
      </c>
      <c r="D173" t="str">
        <f t="shared" si="2"/>
        <v/>
      </c>
    </row>
    <row r="174" spans="2:4" x14ac:dyDescent="0.25">
      <c r="B174" t="str">
        <f>IF(A174="","",SUMIF('Orçamento Anual'!B:B,A174,'Orçamento Anual'!D:D))</f>
        <v/>
      </c>
      <c r="C174" t="str">
        <f>IF(A174="","",SUMIF(Realizado!D:D,A174,Realizado!E:E))</f>
        <v/>
      </c>
      <c r="D174" t="str">
        <f t="shared" si="2"/>
        <v/>
      </c>
    </row>
    <row r="175" spans="2:4" x14ac:dyDescent="0.25">
      <c r="B175" t="str">
        <f>IF(A175="","",SUMIF('Orçamento Anual'!B:B,A175,'Orçamento Anual'!D:D))</f>
        <v/>
      </c>
      <c r="C175" t="str">
        <f>IF(A175="","",SUMIF(Realizado!D:D,A175,Realizado!E:E))</f>
        <v/>
      </c>
      <c r="D175" t="str">
        <f t="shared" si="2"/>
        <v/>
      </c>
    </row>
    <row r="176" spans="2:4" x14ac:dyDescent="0.25">
      <c r="B176" t="str">
        <f>IF(A176="","",SUMIF('Orçamento Anual'!B:B,A176,'Orçamento Anual'!D:D))</f>
        <v/>
      </c>
      <c r="C176" t="str">
        <f>IF(A176="","",SUMIF(Realizado!D:D,A176,Realizado!E:E))</f>
        <v/>
      </c>
      <c r="D176" t="str">
        <f t="shared" si="2"/>
        <v/>
      </c>
    </row>
    <row r="177" spans="2:4" x14ac:dyDescent="0.25">
      <c r="B177" t="str">
        <f>IF(A177="","",SUMIF('Orçamento Anual'!B:B,A177,'Orçamento Anual'!D:D))</f>
        <v/>
      </c>
      <c r="C177" t="str">
        <f>IF(A177="","",SUMIF(Realizado!D:D,A177,Realizado!E:E))</f>
        <v/>
      </c>
      <c r="D177" t="str">
        <f t="shared" si="2"/>
        <v/>
      </c>
    </row>
    <row r="178" spans="2:4" x14ac:dyDescent="0.25">
      <c r="B178" t="str">
        <f>IF(A178="","",SUMIF('Orçamento Anual'!B:B,A178,'Orçamento Anual'!D:D))</f>
        <v/>
      </c>
      <c r="C178" t="str">
        <f>IF(A178="","",SUMIF(Realizado!D:D,A178,Realizado!E:E))</f>
        <v/>
      </c>
      <c r="D178" t="str">
        <f t="shared" si="2"/>
        <v/>
      </c>
    </row>
    <row r="179" spans="2:4" x14ac:dyDescent="0.25">
      <c r="B179" t="str">
        <f>IF(A179="","",SUMIF('Orçamento Anual'!B:B,A179,'Orçamento Anual'!D:D))</f>
        <v/>
      </c>
      <c r="C179" t="str">
        <f>IF(A179="","",SUMIF(Realizado!D:D,A179,Realizado!E:E))</f>
        <v/>
      </c>
      <c r="D179" t="str">
        <f t="shared" si="2"/>
        <v/>
      </c>
    </row>
    <row r="180" spans="2:4" x14ac:dyDescent="0.25">
      <c r="B180" t="str">
        <f>IF(A180="","",SUMIF('Orçamento Anual'!B:B,A180,'Orçamento Anual'!D:D))</f>
        <v/>
      </c>
      <c r="C180" t="str">
        <f>IF(A180="","",SUMIF(Realizado!D:D,A180,Realizado!E:E))</f>
        <v/>
      </c>
      <c r="D180" t="str">
        <f t="shared" si="2"/>
        <v/>
      </c>
    </row>
    <row r="181" spans="2:4" x14ac:dyDescent="0.25">
      <c r="B181" t="str">
        <f>IF(A181="","",SUMIF('Orçamento Anual'!B:B,A181,'Orçamento Anual'!D:D))</f>
        <v/>
      </c>
      <c r="C181" t="str">
        <f>IF(A181="","",SUMIF(Realizado!D:D,A181,Realizado!E:E))</f>
        <v/>
      </c>
      <c r="D181" t="str">
        <f t="shared" si="2"/>
        <v/>
      </c>
    </row>
    <row r="182" spans="2:4" x14ac:dyDescent="0.25">
      <c r="B182" t="str">
        <f>IF(A182="","",SUMIF('Orçamento Anual'!B:B,A182,'Orçamento Anual'!D:D))</f>
        <v/>
      </c>
      <c r="C182" t="str">
        <f>IF(A182="","",SUMIF(Realizado!D:D,A182,Realizado!E:E))</f>
        <v/>
      </c>
      <c r="D182" t="str">
        <f t="shared" si="2"/>
        <v/>
      </c>
    </row>
    <row r="183" spans="2:4" x14ac:dyDescent="0.25">
      <c r="B183" t="str">
        <f>IF(A183="","",SUMIF('Orçamento Anual'!B:B,A183,'Orçamento Anual'!D:D))</f>
        <v/>
      </c>
      <c r="C183" t="str">
        <f>IF(A183="","",SUMIF(Realizado!D:D,A183,Realizado!E:E))</f>
        <v/>
      </c>
      <c r="D183" t="str">
        <f t="shared" si="2"/>
        <v/>
      </c>
    </row>
    <row r="184" spans="2:4" x14ac:dyDescent="0.25">
      <c r="B184" t="str">
        <f>IF(A184="","",SUMIF('Orçamento Anual'!B:B,A184,'Orçamento Anual'!D:D))</f>
        <v/>
      </c>
      <c r="C184" t="str">
        <f>IF(A184="","",SUMIF(Realizado!D:D,A184,Realizado!E:E))</f>
        <v/>
      </c>
      <c r="D184" t="str">
        <f t="shared" si="2"/>
        <v/>
      </c>
    </row>
    <row r="185" spans="2:4" x14ac:dyDescent="0.25">
      <c r="B185" t="str">
        <f>IF(A185="","",SUMIF('Orçamento Anual'!B:B,A185,'Orçamento Anual'!D:D))</f>
        <v/>
      </c>
      <c r="C185" t="str">
        <f>IF(A185="","",SUMIF(Realizado!D:D,A185,Realizado!E:E))</f>
        <v/>
      </c>
      <c r="D185" t="str">
        <f t="shared" si="2"/>
        <v/>
      </c>
    </row>
    <row r="186" spans="2:4" x14ac:dyDescent="0.25">
      <c r="B186" t="str">
        <f>IF(A186="","",SUMIF('Orçamento Anual'!B:B,A186,'Orçamento Anual'!D:D))</f>
        <v/>
      </c>
      <c r="C186" t="str">
        <f>IF(A186="","",SUMIF(Realizado!D:D,A186,Realizado!E:E))</f>
        <v/>
      </c>
      <c r="D186" t="str">
        <f t="shared" si="2"/>
        <v/>
      </c>
    </row>
    <row r="187" spans="2:4" x14ac:dyDescent="0.25">
      <c r="B187" t="str">
        <f>IF(A187="","",SUMIF('Orçamento Anual'!B:B,A187,'Orçamento Anual'!D:D))</f>
        <v/>
      </c>
      <c r="C187" t="str">
        <f>IF(A187="","",SUMIF(Realizado!D:D,A187,Realizado!E:E))</f>
        <v/>
      </c>
      <c r="D187" t="str">
        <f t="shared" si="2"/>
        <v/>
      </c>
    </row>
    <row r="188" spans="2:4" x14ac:dyDescent="0.25">
      <c r="B188" t="str">
        <f>IF(A188="","",SUMIF('Orçamento Anual'!B:B,A188,'Orçamento Anual'!D:D))</f>
        <v/>
      </c>
      <c r="C188" t="str">
        <f>IF(A188="","",SUMIF(Realizado!D:D,A188,Realizado!E:E))</f>
        <v/>
      </c>
      <c r="D188" t="str">
        <f t="shared" si="2"/>
        <v/>
      </c>
    </row>
    <row r="189" spans="2:4" x14ac:dyDescent="0.25">
      <c r="B189" t="str">
        <f>IF(A189="","",SUMIF('Orçamento Anual'!B:B,A189,'Orçamento Anual'!D:D))</f>
        <v/>
      </c>
      <c r="C189" t="str">
        <f>IF(A189="","",SUMIF(Realizado!D:D,A189,Realizado!E:E))</f>
        <v/>
      </c>
      <c r="D189" t="str">
        <f t="shared" si="2"/>
        <v/>
      </c>
    </row>
    <row r="190" spans="2:4" x14ac:dyDescent="0.25">
      <c r="B190" t="str">
        <f>IF(A190="","",SUMIF('Orçamento Anual'!B:B,A190,'Orçamento Anual'!D:D))</f>
        <v/>
      </c>
      <c r="C190" t="str">
        <f>IF(A190="","",SUMIF(Realizado!D:D,A190,Realizado!E:E))</f>
        <v/>
      </c>
      <c r="D190" t="str">
        <f t="shared" si="2"/>
        <v/>
      </c>
    </row>
    <row r="191" spans="2:4" x14ac:dyDescent="0.25">
      <c r="B191" t="str">
        <f>IF(A191="","",SUMIF('Orçamento Anual'!B:B,A191,'Orçamento Anual'!D:D))</f>
        <v/>
      </c>
      <c r="C191" t="str">
        <f>IF(A191="","",SUMIF(Realizado!D:D,A191,Realizado!E:E))</f>
        <v/>
      </c>
      <c r="D191" t="str">
        <f t="shared" si="2"/>
        <v/>
      </c>
    </row>
    <row r="192" spans="2:4" x14ac:dyDescent="0.25">
      <c r="B192" t="str">
        <f>IF(A192="","",SUMIF('Orçamento Anual'!B:B,A192,'Orçamento Anual'!D:D))</f>
        <v/>
      </c>
      <c r="C192" t="str">
        <f>IF(A192="","",SUMIF(Realizado!D:D,A192,Realizado!E:E))</f>
        <v/>
      </c>
      <c r="D192" t="str">
        <f t="shared" si="2"/>
        <v/>
      </c>
    </row>
    <row r="193" spans="2:4" x14ac:dyDescent="0.25">
      <c r="B193" t="str">
        <f>IF(A193="","",SUMIF('Orçamento Anual'!B:B,A193,'Orçamento Anual'!D:D))</f>
        <v/>
      </c>
      <c r="C193" t="str">
        <f>IF(A193="","",SUMIF(Realizado!D:D,A193,Realizado!E:E))</f>
        <v/>
      </c>
      <c r="D193" t="str">
        <f t="shared" si="2"/>
        <v/>
      </c>
    </row>
    <row r="194" spans="2:4" x14ac:dyDescent="0.25">
      <c r="B194" t="str">
        <f>IF(A194="","",SUMIF('Orçamento Anual'!B:B,A194,'Orçamento Anual'!D:D))</f>
        <v/>
      </c>
      <c r="C194" t="str">
        <f>IF(A194="","",SUMIF(Realizado!D:D,A194,Realizado!E:E))</f>
        <v/>
      </c>
      <c r="D194" t="str">
        <f t="shared" ref="D194:D257" si="3">IF(A194="","",C194-B194)</f>
        <v/>
      </c>
    </row>
    <row r="195" spans="2:4" x14ac:dyDescent="0.25">
      <c r="B195" t="str">
        <f>IF(A195="","",SUMIF('Orçamento Anual'!B:B,A195,'Orçamento Anual'!D:D))</f>
        <v/>
      </c>
      <c r="C195" t="str">
        <f>IF(A195="","",SUMIF(Realizado!D:D,A195,Realizado!E:E))</f>
        <v/>
      </c>
      <c r="D195" t="str">
        <f t="shared" si="3"/>
        <v/>
      </c>
    </row>
    <row r="196" spans="2:4" x14ac:dyDescent="0.25">
      <c r="B196" t="str">
        <f>IF(A196="","",SUMIF('Orçamento Anual'!B:B,A196,'Orçamento Anual'!D:D))</f>
        <v/>
      </c>
      <c r="C196" t="str">
        <f>IF(A196="","",SUMIF(Realizado!D:D,A196,Realizado!E:E))</f>
        <v/>
      </c>
      <c r="D196" t="str">
        <f t="shared" si="3"/>
        <v/>
      </c>
    </row>
    <row r="197" spans="2:4" x14ac:dyDescent="0.25">
      <c r="B197" t="str">
        <f>IF(A197="","",SUMIF('Orçamento Anual'!B:B,A197,'Orçamento Anual'!D:D))</f>
        <v/>
      </c>
      <c r="C197" t="str">
        <f>IF(A197="","",SUMIF(Realizado!D:D,A197,Realizado!E:E))</f>
        <v/>
      </c>
      <c r="D197" t="str">
        <f t="shared" si="3"/>
        <v/>
      </c>
    </row>
    <row r="198" spans="2:4" x14ac:dyDescent="0.25">
      <c r="B198" t="str">
        <f>IF(A198="","",SUMIF('Orçamento Anual'!B:B,A198,'Orçamento Anual'!D:D))</f>
        <v/>
      </c>
      <c r="C198" t="str">
        <f>IF(A198="","",SUMIF(Realizado!D:D,A198,Realizado!E:E))</f>
        <v/>
      </c>
      <c r="D198" t="str">
        <f t="shared" si="3"/>
        <v/>
      </c>
    </row>
    <row r="199" spans="2:4" x14ac:dyDescent="0.25">
      <c r="B199" t="str">
        <f>IF(A199="","",SUMIF('Orçamento Anual'!B:B,A199,'Orçamento Anual'!D:D))</f>
        <v/>
      </c>
      <c r="C199" t="str">
        <f>IF(A199="","",SUMIF(Realizado!D:D,A199,Realizado!E:E))</f>
        <v/>
      </c>
      <c r="D199" t="str">
        <f t="shared" si="3"/>
        <v/>
      </c>
    </row>
    <row r="200" spans="2:4" x14ac:dyDescent="0.25">
      <c r="B200" t="str">
        <f>IF(A200="","",SUMIF('Orçamento Anual'!B:B,A200,'Orçamento Anual'!D:D))</f>
        <v/>
      </c>
      <c r="C200" t="str">
        <f>IF(A200="","",SUMIF(Realizado!D:D,A200,Realizado!E:E))</f>
        <v/>
      </c>
      <c r="D200" t="str">
        <f t="shared" si="3"/>
        <v/>
      </c>
    </row>
    <row r="201" spans="2:4" x14ac:dyDescent="0.25">
      <c r="B201" t="str">
        <f>IF(A201="","",SUMIF('Orçamento Anual'!B:B,A201,'Orçamento Anual'!D:D))</f>
        <v/>
      </c>
      <c r="C201" t="str">
        <f>IF(A201="","",SUMIF(Realizado!D:D,A201,Realizado!E:E))</f>
        <v/>
      </c>
      <c r="D201" t="str">
        <f t="shared" si="3"/>
        <v/>
      </c>
    </row>
    <row r="202" spans="2:4" x14ac:dyDescent="0.25">
      <c r="B202" t="str">
        <f>IF(A202="","",SUMIF('Orçamento Anual'!B:B,A202,'Orçamento Anual'!D:D))</f>
        <v/>
      </c>
      <c r="C202" t="str">
        <f>IF(A202="","",SUMIF(Realizado!D:D,A202,Realizado!E:E))</f>
        <v/>
      </c>
      <c r="D202" t="str">
        <f t="shared" si="3"/>
        <v/>
      </c>
    </row>
    <row r="203" spans="2:4" x14ac:dyDescent="0.25">
      <c r="B203" t="str">
        <f>IF(A203="","",SUMIF('Orçamento Anual'!B:B,A203,'Orçamento Anual'!D:D))</f>
        <v/>
      </c>
      <c r="C203" t="str">
        <f>IF(A203="","",SUMIF(Realizado!D:D,A203,Realizado!E:E))</f>
        <v/>
      </c>
      <c r="D203" t="str">
        <f t="shared" si="3"/>
        <v/>
      </c>
    </row>
    <row r="204" spans="2:4" x14ac:dyDescent="0.25">
      <c r="B204" t="str">
        <f>IF(A204="","",SUMIF('Orçamento Anual'!B:B,A204,'Orçamento Anual'!D:D))</f>
        <v/>
      </c>
      <c r="C204" t="str">
        <f>IF(A204="","",SUMIF(Realizado!D:D,A204,Realizado!E:E))</f>
        <v/>
      </c>
      <c r="D204" t="str">
        <f t="shared" si="3"/>
        <v/>
      </c>
    </row>
    <row r="205" spans="2:4" x14ac:dyDescent="0.25">
      <c r="B205" t="str">
        <f>IF(A205="","",SUMIF('Orçamento Anual'!B:B,A205,'Orçamento Anual'!D:D))</f>
        <v/>
      </c>
      <c r="C205" t="str">
        <f>IF(A205="","",SUMIF(Realizado!D:D,A205,Realizado!E:E))</f>
        <v/>
      </c>
      <c r="D205" t="str">
        <f t="shared" si="3"/>
        <v/>
      </c>
    </row>
    <row r="206" spans="2:4" x14ac:dyDescent="0.25">
      <c r="B206" t="str">
        <f>IF(A206="","",SUMIF('Orçamento Anual'!B:B,A206,'Orçamento Anual'!D:D))</f>
        <v/>
      </c>
      <c r="C206" t="str">
        <f>IF(A206="","",SUMIF(Realizado!D:D,A206,Realizado!E:E))</f>
        <v/>
      </c>
      <c r="D206" t="str">
        <f t="shared" si="3"/>
        <v/>
      </c>
    </row>
    <row r="207" spans="2:4" x14ac:dyDescent="0.25">
      <c r="B207" t="str">
        <f>IF(A207="","",SUMIF('Orçamento Anual'!B:B,A207,'Orçamento Anual'!D:D))</f>
        <v/>
      </c>
      <c r="C207" t="str">
        <f>IF(A207="","",SUMIF(Realizado!D:D,A207,Realizado!E:E))</f>
        <v/>
      </c>
      <c r="D207" t="str">
        <f t="shared" si="3"/>
        <v/>
      </c>
    </row>
    <row r="208" spans="2:4" x14ac:dyDescent="0.25">
      <c r="B208" t="str">
        <f>IF(A208="","",SUMIF('Orçamento Anual'!B:B,A208,'Orçamento Anual'!D:D))</f>
        <v/>
      </c>
      <c r="C208" t="str">
        <f>IF(A208="","",SUMIF(Realizado!D:D,A208,Realizado!E:E))</f>
        <v/>
      </c>
      <c r="D208" t="str">
        <f t="shared" si="3"/>
        <v/>
      </c>
    </row>
    <row r="209" spans="2:4" x14ac:dyDescent="0.25">
      <c r="B209" t="str">
        <f>IF(A209="","",SUMIF('Orçamento Anual'!B:B,A209,'Orçamento Anual'!D:D))</f>
        <v/>
      </c>
      <c r="C209" t="str">
        <f>IF(A209="","",SUMIF(Realizado!D:D,A209,Realizado!E:E))</f>
        <v/>
      </c>
      <c r="D209" t="str">
        <f t="shared" si="3"/>
        <v/>
      </c>
    </row>
    <row r="210" spans="2:4" x14ac:dyDescent="0.25">
      <c r="B210" t="str">
        <f>IF(A210="","",SUMIF('Orçamento Anual'!B:B,A210,'Orçamento Anual'!D:D))</f>
        <v/>
      </c>
      <c r="C210" t="str">
        <f>IF(A210="","",SUMIF(Realizado!D:D,A210,Realizado!E:E))</f>
        <v/>
      </c>
      <c r="D210" t="str">
        <f t="shared" si="3"/>
        <v/>
      </c>
    </row>
    <row r="211" spans="2:4" x14ac:dyDescent="0.25">
      <c r="B211" t="str">
        <f>IF(A211="","",SUMIF('Orçamento Anual'!B:B,A211,'Orçamento Anual'!D:D))</f>
        <v/>
      </c>
      <c r="C211" t="str">
        <f>IF(A211="","",SUMIF(Realizado!D:D,A211,Realizado!E:E))</f>
        <v/>
      </c>
      <c r="D211" t="str">
        <f t="shared" si="3"/>
        <v/>
      </c>
    </row>
    <row r="212" spans="2:4" x14ac:dyDescent="0.25">
      <c r="B212" t="str">
        <f>IF(A212="","",SUMIF('Orçamento Anual'!B:B,A212,'Orçamento Anual'!D:D))</f>
        <v/>
      </c>
      <c r="C212" t="str">
        <f>IF(A212="","",SUMIF(Realizado!D:D,A212,Realizado!E:E))</f>
        <v/>
      </c>
      <c r="D212" t="str">
        <f t="shared" si="3"/>
        <v/>
      </c>
    </row>
    <row r="213" spans="2:4" x14ac:dyDescent="0.25">
      <c r="B213" t="str">
        <f>IF(A213="","",SUMIF('Orçamento Anual'!B:B,A213,'Orçamento Anual'!D:D))</f>
        <v/>
      </c>
      <c r="C213" t="str">
        <f>IF(A213="","",SUMIF(Realizado!D:D,A213,Realizado!E:E))</f>
        <v/>
      </c>
      <c r="D213" t="str">
        <f t="shared" si="3"/>
        <v/>
      </c>
    </row>
    <row r="214" spans="2:4" x14ac:dyDescent="0.25">
      <c r="B214" t="str">
        <f>IF(A214="","",SUMIF('Orçamento Anual'!B:B,A214,'Orçamento Anual'!D:D))</f>
        <v/>
      </c>
      <c r="C214" t="str">
        <f>IF(A214="","",SUMIF(Realizado!D:D,A214,Realizado!E:E))</f>
        <v/>
      </c>
      <c r="D214" t="str">
        <f t="shared" si="3"/>
        <v/>
      </c>
    </row>
    <row r="215" spans="2:4" x14ac:dyDescent="0.25">
      <c r="B215" t="str">
        <f>IF(A215="","",SUMIF('Orçamento Anual'!B:B,A215,'Orçamento Anual'!D:D))</f>
        <v/>
      </c>
      <c r="C215" t="str">
        <f>IF(A215="","",SUMIF(Realizado!D:D,A215,Realizado!E:E))</f>
        <v/>
      </c>
      <c r="D215" t="str">
        <f t="shared" si="3"/>
        <v/>
      </c>
    </row>
    <row r="216" spans="2:4" x14ac:dyDescent="0.25">
      <c r="B216" t="str">
        <f>IF(A216="","",SUMIF('Orçamento Anual'!B:B,A216,'Orçamento Anual'!D:D))</f>
        <v/>
      </c>
      <c r="C216" t="str">
        <f>IF(A216="","",SUMIF(Realizado!D:D,A216,Realizado!E:E))</f>
        <v/>
      </c>
      <c r="D216" t="str">
        <f t="shared" si="3"/>
        <v/>
      </c>
    </row>
    <row r="217" spans="2:4" x14ac:dyDescent="0.25">
      <c r="B217" t="str">
        <f>IF(A217="","",SUMIF('Orçamento Anual'!B:B,A217,'Orçamento Anual'!D:D))</f>
        <v/>
      </c>
      <c r="C217" t="str">
        <f>IF(A217="","",SUMIF(Realizado!D:D,A217,Realizado!E:E))</f>
        <v/>
      </c>
      <c r="D217" t="str">
        <f t="shared" si="3"/>
        <v/>
      </c>
    </row>
    <row r="218" spans="2:4" x14ac:dyDescent="0.25">
      <c r="B218" t="str">
        <f>IF(A218="","",SUMIF('Orçamento Anual'!B:B,A218,'Orçamento Anual'!D:D))</f>
        <v/>
      </c>
      <c r="C218" t="str">
        <f>IF(A218="","",SUMIF(Realizado!D:D,A218,Realizado!E:E))</f>
        <v/>
      </c>
      <c r="D218" t="str">
        <f t="shared" si="3"/>
        <v/>
      </c>
    </row>
    <row r="219" spans="2:4" x14ac:dyDescent="0.25">
      <c r="B219" t="str">
        <f>IF(A219="","",SUMIF('Orçamento Anual'!B:B,A219,'Orçamento Anual'!D:D))</f>
        <v/>
      </c>
      <c r="C219" t="str">
        <f>IF(A219="","",SUMIF(Realizado!D:D,A219,Realizado!E:E))</f>
        <v/>
      </c>
      <c r="D219" t="str">
        <f t="shared" si="3"/>
        <v/>
      </c>
    </row>
    <row r="220" spans="2:4" x14ac:dyDescent="0.25">
      <c r="B220" t="str">
        <f>IF(A220="","",SUMIF('Orçamento Anual'!B:B,A220,'Orçamento Anual'!D:D))</f>
        <v/>
      </c>
      <c r="C220" t="str">
        <f>IF(A220="","",SUMIF(Realizado!D:D,A220,Realizado!E:E))</f>
        <v/>
      </c>
      <c r="D220" t="str">
        <f t="shared" si="3"/>
        <v/>
      </c>
    </row>
    <row r="221" spans="2:4" x14ac:dyDescent="0.25">
      <c r="B221" t="str">
        <f>IF(A221="","",SUMIF('Orçamento Anual'!B:B,A221,'Orçamento Anual'!D:D))</f>
        <v/>
      </c>
      <c r="C221" t="str">
        <f>IF(A221="","",SUMIF(Realizado!D:D,A221,Realizado!E:E))</f>
        <v/>
      </c>
      <c r="D221" t="str">
        <f t="shared" si="3"/>
        <v/>
      </c>
    </row>
    <row r="222" spans="2:4" x14ac:dyDescent="0.25">
      <c r="B222" t="str">
        <f>IF(A222="","",SUMIF('Orçamento Anual'!B:B,A222,'Orçamento Anual'!D:D))</f>
        <v/>
      </c>
      <c r="C222" t="str">
        <f>IF(A222="","",SUMIF(Realizado!D:D,A222,Realizado!E:E))</f>
        <v/>
      </c>
      <c r="D222" t="str">
        <f t="shared" si="3"/>
        <v/>
      </c>
    </row>
    <row r="223" spans="2:4" x14ac:dyDescent="0.25">
      <c r="B223" t="str">
        <f>IF(A223="","",SUMIF('Orçamento Anual'!B:B,A223,'Orçamento Anual'!D:D))</f>
        <v/>
      </c>
      <c r="C223" t="str">
        <f>IF(A223="","",SUMIF(Realizado!D:D,A223,Realizado!E:E))</f>
        <v/>
      </c>
      <c r="D223" t="str">
        <f t="shared" si="3"/>
        <v/>
      </c>
    </row>
    <row r="224" spans="2:4" x14ac:dyDescent="0.25">
      <c r="B224" t="str">
        <f>IF(A224="","",SUMIF('Orçamento Anual'!B:B,A224,'Orçamento Anual'!D:D))</f>
        <v/>
      </c>
      <c r="C224" t="str">
        <f>IF(A224="","",SUMIF(Realizado!D:D,A224,Realizado!E:E))</f>
        <v/>
      </c>
      <c r="D224" t="str">
        <f t="shared" si="3"/>
        <v/>
      </c>
    </row>
    <row r="225" spans="2:4" x14ac:dyDescent="0.25">
      <c r="B225" t="str">
        <f>IF(A225="","",SUMIF('Orçamento Anual'!B:B,A225,'Orçamento Anual'!D:D))</f>
        <v/>
      </c>
      <c r="C225" t="str">
        <f>IF(A225="","",SUMIF(Realizado!D:D,A225,Realizado!E:E))</f>
        <v/>
      </c>
      <c r="D225" t="str">
        <f t="shared" si="3"/>
        <v/>
      </c>
    </row>
    <row r="226" spans="2:4" x14ac:dyDescent="0.25">
      <c r="B226" t="str">
        <f>IF(A226="","",SUMIF('Orçamento Anual'!B:B,A226,'Orçamento Anual'!D:D))</f>
        <v/>
      </c>
      <c r="C226" t="str">
        <f>IF(A226="","",SUMIF(Realizado!D:D,A226,Realizado!E:E))</f>
        <v/>
      </c>
      <c r="D226" t="str">
        <f t="shared" si="3"/>
        <v/>
      </c>
    </row>
    <row r="227" spans="2:4" x14ac:dyDescent="0.25">
      <c r="B227" t="str">
        <f>IF(A227="","",SUMIF('Orçamento Anual'!B:B,A227,'Orçamento Anual'!D:D))</f>
        <v/>
      </c>
      <c r="C227" t="str">
        <f>IF(A227="","",SUMIF(Realizado!D:D,A227,Realizado!E:E))</f>
        <v/>
      </c>
      <c r="D227" t="str">
        <f t="shared" si="3"/>
        <v/>
      </c>
    </row>
    <row r="228" spans="2:4" x14ac:dyDescent="0.25">
      <c r="B228" t="str">
        <f>IF(A228="","",SUMIF('Orçamento Anual'!B:B,A228,'Orçamento Anual'!D:D))</f>
        <v/>
      </c>
      <c r="C228" t="str">
        <f>IF(A228="","",SUMIF(Realizado!D:D,A228,Realizado!E:E))</f>
        <v/>
      </c>
      <c r="D228" t="str">
        <f t="shared" si="3"/>
        <v/>
      </c>
    </row>
    <row r="229" spans="2:4" x14ac:dyDescent="0.25">
      <c r="B229" t="str">
        <f>IF(A229="","",SUMIF('Orçamento Anual'!B:B,A229,'Orçamento Anual'!D:D))</f>
        <v/>
      </c>
      <c r="C229" t="str">
        <f>IF(A229="","",SUMIF(Realizado!D:D,A229,Realizado!E:E))</f>
        <v/>
      </c>
      <c r="D229" t="str">
        <f t="shared" si="3"/>
        <v/>
      </c>
    </row>
    <row r="230" spans="2:4" x14ac:dyDescent="0.25">
      <c r="B230" t="str">
        <f>IF(A230="","",SUMIF('Orçamento Anual'!B:B,A230,'Orçamento Anual'!D:D))</f>
        <v/>
      </c>
      <c r="C230" t="str">
        <f>IF(A230="","",SUMIF(Realizado!D:D,A230,Realizado!E:E))</f>
        <v/>
      </c>
      <c r="D230" t="str">
        <f t="shared" si="3"/>
        <v/>
      </c>
    </row>
    <row r="231" spans="2:4" x14ac:dyDescent="0.25">
      <c r="B231" t="str">
        <f>IF(A231="","",SUMIF('Orçamento Anual'!B:B,A231,'Orçamento Anual'!D:D))</f>
        <v/>
      </c>
      <c r="C231" t="str">
        <f>IF(A231="","",SUMIF(Realizado!D:D,A231,Realizado!E:E))</f>
        <v/>
      </c>
      <c r="D231" t="str">
        <f t="shared" si="3"/>
        <v/>
      </c>
    </row>
    <row r="232" spans="2:4" x14ac:dyDescent="0.25">
      <c r="B232" t="str">
        <f>IF(A232="","",SUMIF('Orçamento Anual'!B:B,A232,'Orçamento Anual'!D:D))</f>
        <v/>
      </c>
      <c r="C232" t="str">
        <f>IF(A232="","",SUMIF(Realizado!D:D,A232,Realizado!E:E))</f>
        <v/>
      </c>
      <c r="D232" t="str">
        <f t="shared" si="3"/>
        <v/>
      </c>
    </row>
    <row r="233" spans="2:4" x14ac:dyDescent="0.25">
      <c r="B233" t="str">
        <f>IF(A233="","",SUMIF('Orçamento Anual'!B:B,A233,'Orçamento Anual'!D:D))</f>
        <v/>
      </c>
      <c r="C233" t="str">
        <f>IF(A233="","",SUMIF(Realizado!D:D,A233,Realizado!E:E))</f>
        <v/>
      </c>
      <c r="D233" t="str">
        <f t="shared" si="3"/>
        <v/>
      </c>
    </row>
    <row r="234" spans="2:4" x14ac:dyDescent="0.25">
      <c r="B234" t="str">
        <f>IF(A234="","",SUMIF('Orçamento Anual'!B:B,A234,'Orçamento Anual'!D:D))</f>
        <v/>
      </c>
      <c r="C234" t="str">
        <f>IF(A234="","",SUMIF(Realizado!D:D,A234,Realizado!E:E))</f>
        <v/>
      </c>
      <c r="D234" t="str">
        <f t="shared" si="3"/>
        <v/>
      </c>
    </row>
    <row r="235" spans="2:4" x14ac:dyDescent="0.25">
      <c r="B235" t="str">
        <f>IF(A235="","",SUMIF('Orçamento Anual'!B:B,A235,'Orçamento Anual'!D:D))</f>
        <v/>
      </c>
      <c r="C235" t="str">
        <f>IF(A235="","",SUMIF(Realizado!D:D,A235,Realizado!E:E))</f>
        <v/>
      </c>
      <c r="D235" t="str">
        <f t="shared" si="3"/>
        <v/>
      </c>
    </row>
    <row r="236" spans="2:4" x14ac:dyDescent="0.25">
      <c r="B236" t="str">
        <f>IF(A236="","",SUMIF('Orçamento Anual'!B:B,A236,'Orçamento Anual'!D:D))</f>
        <v/>
      </c>
      <c r="C236" t="str">
        <f>IF(A236="","",SUMIF(Realizado!D:D,A236,Realizado!E:E))</f>
        <v/>
      </c>
      <c r="D236" t="str">
        <f t="shared" si="3"/>
        <v/>
      </c>
    </row>
    <row r="237" spans="2:4" x14ac:dyDescent="0.25">
      <c r="B237" t="str">
        <f>IF(A237="","",SUMIF('Orçamento Anual'!B:B,A237,'Orçamento Anual'!D:D))</f>
        <v/>
      </c>
      <c r="C237" t="str">
        <f>IF(A237="","",SUMIF(Realizado!D:D,A237,Realizado!E:E))</f>
        <v/>
      </c>
      <c r="D237" t="str">
        <f t="shared" si="3"/>
        <v/>
      </c>
    </row>
    <row r="238" spans="2:4" x14ac:dyDescent="0.25">
      <c r="B238" t="str">
        <f>IF(A238="","",SUMIF('Orçamento Anual'!B:B,A238,'Orçamento Anual'!D:D))</f>
        <v/>
      </c>
      <c r="C238" t="str">
        <f>IF(A238="","",SUMIF(Realizado!D:D,A238,Realizado!E:E))</f>
        <v/>
      </c>
      <c r="D238" t="str">
        <f t="shared" si="3"/>
        <v/>
      </c>
    </row>
    <row r="239" spans="2:4" x14ac:dyDescent="0.25">
      <c r="B239" t="str">
        <f>IF(A239="","",SUMIF('Orçamento Anual'!B:B,A239,'Orçamento Anual'!D:D))</f>
        <v/>
      </c>
      <c r="C239" t="str">
        <f>IF(A239="","",SUMIF(Realizado!D:D,A239,Realizado!E:E))</f>
        <v/>
      </c>
      <c r="D239" t="str">
        <f t="shared" si="3"/>
        <v/>
      </c>
    </row>
    <row r="240" spans="2:4" x14ac:dyDescent="0.25">
      <c r="B240" t="str">
        <f>IF(A240="","",SUMIF('Orçamento Anual'!B:B,A240,'Orçamento Anual'!D:D))</f>
        <v/>
      </c>
      <c r="C240" t="str">
        <f>IF(A240="","",SUMIF(Realizado!D:D,A240,Realizado!E:E))</f>
        <v/>
      </c>
      <c r="D240" t="str">
        <f t="shared" si="3"/>
        <v/>
      </c>
    </row>
    <row r="241" spans="2:4" x14ac:dyDescent="0.25">
      <c r="B241" t="str">
        <f>IF(A241="","",SUMIF('Orçamento Anual'!B:B,A241,'Orçamento Anual'!D:D))</f>
        <v/>
      </c>
      <c r="C241" t="str">
        <f>IF(A241="","",SUMIF(Realizado!D:D,A241,Realizado!E:E))</f>
        <v/>
      </c>
      <c r="D241" t="str">
        <f t="shared" si="3"/>
        <v/>
      </c>
    </row>
    <row r="242" spans="2:4" x14ac:dyDescent="0.25">
      <c r="B242" t="str">
        <f>IF(A242="","",SUMIF('Orçamento Anual'!B:B,A242,'Orçamento Anual'!D:D))</f>
        <v/>
      </c>
      <c r="C242" t="str">
        <f>IF(A242="","",SUMIF(Realizado!D:D,A242,Realizado!E:E))</f>
        <v/>
      </c>
      <c r="D242" t="str">
        <f t="shared" si="3"/>
        <v/>
      </c>
    </row>
    <row r="243" spans="2:4" x14ac:dyDescent="0.25">
      <c r="B243" t="str">
        <f>IF(A243="","",SUMIF('Orçamento Anual'!B:B,A243,'Orçamento Anual'!D:D))</f>
        <v/>
      </c>
      <c r="C243" t="str">
        <f>IF(A243="","",SUMIF(Realizado!D:D,A243,Realizado!E:E))</f>
        <v/>
      </c>
      <c r="D243" t="str">
        <f t="shared" si="3"/>
        <v/>
      </c>
    </row>
    <row r="244" spans="2:4" x14ac:dyDescent="0.25">
      <c r="B244" t="str">
        <f>IF(A244="","",SUMIF('Orçamento Anual'!B:B,A244,'Orçamento Anual'!D:D))</f>
        <v/>
      </c>
      <c r="C244" t="str">
        <f>IF(A244="","",SUMIF(Realizado!D:D,A244,Realizado!E:E))</f>
        <v/>
      </c>
      <c r="D244" t="str">
        <f t="shared" si="3"/>
        <v/>
      </c>
    </row>
    <row r="245" spans="2:4" x14ac:dyDescent="0.25">
      <c r="B245" t="str">
        <f>IF(A245="","",SUMIF('Orçamento Anual'!B:B,A245,'Orçamento Anual'!D:D))</f>
        <v/>
      </c>
      <c r="C245" t="str">
        <f>IF(A245="","",SUMIF(Realizado!D:D,A245,Realizado!E:E))</f>
        <v/>
      </c>
      <c r="D245" t="str">
        <f t="shared" si="3"/>
        <v/>
      </c>
    </row>
    <row r="246" spans="2:4" x14ac:dyDescent="0.25">
      <c r="B246" t="str">
        <f>IF(A246="","",SUMIF('Orçamento Anual'!B:B,A246,'Orçamento Anual'!D:D))</f>
        <v/>
      </c>
      <c r="C246" t="str">
        <f>IF(A246="","",SUMIF(Realizado!D:D,A246,Realizado!E:E))</f>
        <v/>
      </c>
      <c r="D246" t="str">
        <f t="shared" si="3"/>
        <v/>
      </c>
    </row>
    <row r="247" spans="2:4" x14ac:dyDescent="0.25">
      <c r="B247" t="str">
        <f>IF(A247="","",SUMIF('Orçamento Anual'!B:B,A247,'Orçamento Anual'!D:D))</f>
        <v/>
      </c>
      <c r="C247" t="str">
        <f>IF(A247="","",SUMIF(Realizado!D:D,A247,Realizado!E:E))</f>
        <v/>
      </c>
      <c r="D247" t="str">
        <f t="shared" si="3"/>
        <v/>
      </c>
    </row>
    <row r="248" spans="2:4" x14ac:dyDescent="0.25">
      <c r="B248" t="str">
        <f>IF(A248="","",SUMIF('Orçamento Anual'!B:B,A248,'Orçamento Anual'!D:D))</f>
        <v/>
      </c>
      <c r="C248" t="str">
        <f>IF(A248="","",SUMIF(Realizado!D:D,A248,Realizado!E:E))</f>
        <v/>
      </c>
      <c r="D248" t="str">
        <f t="shared" si="3"/>
        <v/>
      </c>
    </row>
    <row r="249" spans="2:4" x14ac:dyDescent="0.25">
      <c r="B249" t="str">
        <f>IF(A249="","",SUMIF('Orçamento Anual'!B:B,A249,'Orçamento Anual'!D:D))</f>
        <v/>
      </c>
      <c r="C249" t="str">
        <f>IF(A249="","",SUMIF(Realizado!D:D,A249,Realizado!E:E))</f>
        <v/>
      </c>
      <c r="D249" t="str">
        <f t="shared" si="3"/>
        <v/>
      </c>
    </row>
    <row r="250" spans="2:4" x14ac:dyDescent="0.25">
      <c r="B250" t="str">
        <f>IF(A250="","",SUMIF('Orçamento Anual'!B:B,A250,'Orçamento Anual'!D:D))</f>
        <v/>
      </c>
      <c r="C250" t="str">
        <f>IF(A250="","",SUMIF(Realizado!D:D,A250,Realizado!E:E))</f>
        <v/>
      </c>
      <c r="D250" t="str">
        <f t="shared" si="3"/>
        <v/>
      </c>
    </row>
    <row r="251" spans="2:4" x14ac:dyDescent="0.25">
      <c r="B251" t="str">
        <f>IF(A251="","",SUMIF('Orçamento Anual'!B:B,A251,'Orçamento Anual'!D:D))</f>
        <v/>
      </c>
      <c r="C251" t="str">
        <f>IF(A251="","",SUMIF(Realizado!D:D,A251,Realizado!E:E))</f>
        <v/>
      </c>
      <c r="D251" t="str">
        <f t="shared" si="3"/>
        <v/>
      </c>
    </row>
    <row r="252" spans="2:4" x14ac:dyDescent="0.25">
      <c r="B252" t="str">
        <f>IF(A252="","",SUMIF('Orçamento Anual'!B:B,A252,'Orçamento Anual'!D:D))</f>
        <v/>
      </c>
      <c r="C252" t="str">
        <f>IF(A252="","",SUMIF(Realizado!D:D,A252,Realizado!E:E))</f>
        <v/>
      </c>
      <c r="D252" t="str">
        <f t="shared" si="3"/>
        <v/>
      </c>
    </row>
    <row r="253" spans="2:4" x14ac:dyDescent="0.25">
      <c r="B253" t="str">
        <f>IF(A253="","",SUMIF('Orçamento Anual'!B:B,A253,'Orçamento Anual'!D:D))</f>
        <v/>
      </c>
      <c r="C253" t="str">
        <f>IF(A253="","",SUMIF(Realizado!D:D,A253,Realizado!E:E))</f>
        <v/>
      </c>
      <c r="D253" t="str">
        <f t="shared" si="3"/>
        <v/>
      </c>
    </row>
    <row r="254" spans="2:4" x14ac:dyDescent="0.25">
      <c r="B254" t="str">
        <f>IF(A254="","",SUMIF('Orçamento Anual'!B:B,A254,'Orçamento Anual'!D:D))</f>
        <v/>
      </c>
      <c r="C254" t="str">
        <f>IF(A254="","",SUMIF(Realizado!D:D,A254,Realizado!E:E))</f>
        <v/>
      </c>
      <c r="D254" t="str">
        <f t="shared" si="3"/>
        <v/>
      </c>
    </row>
    <row r="255" spans="2:4" x14ac:dyDescent="0.25">
      <c r="B255" t="str">
        <f>IF(A255="","",SUMIF('Orçamento Anual'!B:B,A255,'Orçamento Anual'!D:D))</f>
        <v/>
      </c>
      <c r="C255" t="str">
        <f>IF(A255="","",SUMIF(Realizado!D:D,A255,Realizado!E:E))</f>
        <v/>
      </c>
      <c r="D255" t="str">
        <f t="shared" si="3"/>
        <v/>
      </c>
    </row>
    <row r="256" spans="2:4" x14ac:dyDescent="0.25">
      <c r="B256" t="str">
        <f>IF(A256="","",SUMIF('Orçamento Anual'!B:B,A256,'Orçamento Anual'!D:D))</f>
        <v/>
      </c>
      <c r="C256" t="str">
        <f>IF(A256="","",SUMIF(Realizado!D:D,A256,Realizado!E:E))</f>
        <v/>
      </c>
      <c r="D256" t="str">
        <f t="shared" si="3"/>
        <v/>
      </c>
    </row>
    <row r="257" spans="2:4" x14ac:dyDescent="0.25">
      <c r="B257" t="str">
        <f>IF(A257="","",SUMIF('Orçamento Anual'!B:B,A257,'Orçamento Anual'!D:D))</f>
        <v/>
      </c>
      <c r="C257" t="str">
        <f>IF(A257="","",SUMIF(Realizado!D:D,A257,Realizado!E:E))</f>
        <v/>
      </c>
      <c r="D257" t="str">
        <f t="shared" si="3"/>
        <v/>
      </c>
    </row>
    <row r="258" spans="2:4" x14ac:dyDescent="0.25">
      <c r="B258" t="str">
        <f>IF(A258="","",SUMIF('Orçamento Anual'!B:B,A258,'Orçamento Anual'!D:D))</f>
        <v/>
      </c>
      <c r="C258" t="str">
        <f>IF(A258="","",SUMIF(Realizado!D:D,A258,Realizado!E:E))</f>
        <v/>
      </c>
      <c r="D258" t="str">
        <f t="shared" ref="D258:D321" si="4">IF(A258="","",C258-B258)</f>
        <v/>
      </c>
    </row>
    <row r="259" spans="2:4" x14ac:dyDescent="0.25">
      <c r="B259" t="str">
        <f>IF(A259="","",SUMIF('Orçamento Anual'!B:B,A259,'Orçamento Anual'!D:D))</f>
        <v/>
      </c>
      <c r="C259" t="str">
        <f>IF(A259="","",SUMIF(Realizado!D:D,A259,Realizado!E:E))</f>
        <v/>
      </c>
      <c r="D259" t="str">
        <f t="shared" si="4"/>
        <v/>
      </c>
    </row>
    <row r="260" spans="2:4" x14ac:dyDescent="0.25">
      <c r="B260" t="str">
        <f>IF(A260="","",SUMIF('Orçamento Anual'!B:B,A260,'Orçamento Anual'!D:D))</f>
        <v/>
      </c>
      <c r="C260" t="str">
        <f>IF(A260="","",SUMIF(Realizado!D:D,A260,Realizado!E:E))</f>
        <v/>
      </c>
      <c r="D260" t="str">
        <f t="shared" si="4"/>
        <v/>
      </c>
    </row>
    <row r="261" spans="2:4" x14ac:dyDescent="0.25">
      <c r="B261" t="str">
        <f>IF(A261="","",SUMIF('Orçamento Anual'!B:B,A261,'Orçamento Anual'!D:D))</f>
        <v/>
      </c>
      <c r="C261" t="str">
        <f>IF(A261="","",SUMIF(Realizado!D:D,A261,Realizado!E:E))</f>
        <v/>
      </c>
      <c r="D261" t="str">
        <f t="shared" si="4"/>
        <v/>
      </c>
    </row>
    <row r="262" spans="2:4" x14ac:dyDescent="0.25">
      <c r="B262" t="str">
        <f>IF(A262="","",SUMIF('Orçamento Anual'!B:B,A262,'Orçamento Anual'!D:D))</f>
        <v/>
      </c>
      <c r="C262" t="str">
        <f>IF(A262="","",SUMIF(Realizado!D:D,A262,Realizado!E:E))</f>
        <v/>
      </c>
      <c r="D262" t="str">
        <f t="shared" si="4"/>
        <v/>
      </c>
    </row>
    <row r="263" spans="2:4" x14ac:dyDescent="0.25">
      <c r="B263" t="str">
        <f>IF(A263="","",SUMIF('Orçamento Anual'!B:B,A263,'Orçamento Anual'!D:D))</f>
        <v/>
      </c>
      <c r="C263" t="str">
        <f>IF(A263="","",SUMIF(Realizado!D:D,A263,Realizado!E:E))</f>
        <v/>
      </c>
      <c r="D263" t="str">
        <f t="shared" si="4"/>
        <v/>
      </c>
    </row>
    <row r="264" spans="2:4" x14ac:dyDescent="0.25">
      <c r="B264" t="str">
        <f>IF(A264="","",SUMIF('Orçamento Anual'!B:B,A264,'Orçamento Anual'!D:D))</f>
        <v/>
      </c>
      <c r="C264" t="str">
        <f>IF(A264="","",SUMIF(Realizado!D:D,A264,Realizado!E:E))</f>
        <v/>
      </c>
      <c r="D264" t="str">
        <f t="shared" si="4"/>
        <v/>
      </c>
    </row>
    <row r="265" spans="2:4" x14ac:dyDescent="0.25">
      <c r="B265" t="str">
        <f>IF(A265="","",SUMIF('Orçamento Anual'!B:B,A265,'Orçamento Anual'!D:D))</f>
        <v/>
      </c>
      <c r="C265" t="str">
        <f>IF(A265="","",SUMIF(Realizado!D:D,A265,Realizado!E:E))</f>
        <v/>
      </c>
      <c r="D265" t="str">
        <f t="shared" si="4"/>
        <v/>
      </c>
    </row>
    <row r="266" spans="2:4" x14ac:dyDescent="0.25">
      <c r="B266" t="str">
        <f>IF(A266="","",SUMIF('Orçamento Anual'!B:B,A266,'Orçamento Anual'!D:D))</f>
        <v/>
      </c>
      <c r="C266" t="str">
        <f>IF(A266="","",SUMIF(Realizado!D:D,A266,Realizado!E:E))</f>
        <v/>
      </c>
      <c r="D266" t="str">
        <f t="shared" si="4"/>
        <v/>
      </c>
    </row>
    <row r="267" spans="2:4" x14ac:dyDescent="0.25">
      <c r="B267" t="str">
        <f>IF(A267="","",SUMIF('Orçamento Anual'!B:B,A267,'Orçamento Anual'!D:D))</f>
        <v/>
      </c>
      <c r="C267" t="str">
        <f>IF(A267="","",SUMIF(Realizado!D:D,A267,Realizado!E:E))</f>
        <v/>
      </c>
      <c r="D267" t="str">
        <f t="shared" si="4"/>
        <v/>
      </c>
    </row>
    <row r="268" spans="2:4" x14ac:dyDescent="0.25">
      <c r="B268" t="str">
        <f>IF(A268="","",SUMIF('Orçamento Anual'!B:B,A268,'Orçamento Anual'!D:D))</f>
        <v/>
      </c>
      <c r="C268" t="str">
        <f>IF(A268="","",SUMIF(Realizado!D:D,A268,Realizado!E:E))</f>
        <v/>
      </c>
      <c r="D268" t="str">
        <f t="shared" si="4"/>
        <v/>
      </c>
    </row>
    <row r="269" spans="2:4" x14ac:dyDescent="0.25">
      <c r="B269" t="str">
        <f>IF(A269="","",SUMIF('Orçamento Anual'!B:B,A269,'Orçamento Anual'!D:D))</f>
        <v/>
      </c>
      <c r="C269" t="str">
        <f>IF(A269="","",SUMIF(Realizado!D:D,A269,Realizado!E:E))</f>
        <v/>
      </c>
      <c r="D269" t="str">
        <f t="shared" si="4"/>
        <v/>
      </c>
    </row>
    <row r="270" spans="2:4" x14ac:dyDescent="0.25">
      <c r="B270" t="str">
        <f>IF(A270="","",SUMIF('Orçamento Anual'!B:B,A270,'Orçamento Anual'!D:D))</f>
        <v/>
      </c>
      <c r="C270" t="str">
        <f>IF(A270="","",SUMIF(Realizado!D:D,A270,Realizado!E:E))</f>
        <v/>
      </c>
      <c r="D270" t="str">
        <f t="shared" si="4"/>
        <v/>
      </c>
    </row>
    <row r="271" spans="2:4" x14ac:dyDescent="0.25">
      <c r="B271" t="str">
        <f>IF(A271="","",SUMIF('Orçamento Anual'!B:B,A271,'Orçamento Anual'!D:D))</f>
        <v/>
      </c>
      <c r="C271" t="str">
        <f>IF(A271="","",SUMIF(Realizado!D:D,A271,Realizado!E:E))</f>
        <v/>
      </c>
      <c r="D271" t="str">
        <f t="shared" si="4"/>
        <v/>
      </c>
    </row>
    <row r="272" spans="2:4" x14ac:dyDescent="0.25">
      <c r="B272" t="str">
        <f>IF(A272="","",SUMIF('Orçamento Anual'!B:B,A272,'Orçamento Anual'!D:D))</f>
        <v/>
      </c>
      <c r="C272" t="str">
        <f>IF(A272="","",SUMIF(Realizado!D:D,A272,Realizado!E:E))</f>
        <v/>
      </c>
      <c r="D272" t="str">
        <f t="shared" si="4"/>
        <v/>
      </c>
    </row>
    <row r="273" spans="2:4" x14ac:dyDescent="0.25">
      <c r="B273" t="str">
        <f>IF(A273="","",SUMIF('Orçamento Anual'!B:B,A273,'Orçamento Anual'!D:D))</f>
        <v/>
      </c>
      <c r="C273" t="str">
        <f>IF(A273="","",SUMIF(Realizado!D:D,A273,Realizado!E:E))</f>
        <v/>
      </c>
      <c r="D273" t="str">
        <f t="shared" si="4"/>
        <v/>
      </c>
    </row>
    <row r="274" spans="2:4" x14ac:dyDescent="0.25">
      <c r="B274" t="str">
        <f>IF(A274="","",SUMIF('Orçamento Anual'!B:B,A274,'Orçamento Anual'!D:D))</f>
        <v/>
      </c>
      <c r="C274" t="str">
        <f>IF(A274="","",SUMIF(Realizado!D:D,A274,Realizado!E:E))</f>
        <v/>
      </c>
      <c r="D274" t="str">
        <f t="shared" si="4"/>
        <v/>
      </c>
    </row>
    <row r="275" spans="2:4" x14ac:dyDescent="0.25">
      <c r="B275" t="str">
        <f>IF(A275="","",SUMIF('Orçamento Anual'!B:B,A275,'Orçamento Anual'!D:D))</f>
        <v/>
      </c>
      <c r="C275" t="str">
        <f>IF(A275="","",SUMIF(Realizado!D:D,A275,Realizado!E:E))</f>
        <v/>
      </c>
      <c r="D275" t="str">
        <f t="shared" si="4"/>
        <v/>
      </c>
    </row>
    <row r="276" spans="2:4" x14ac:dyDescent="0.25">
      <c r="B276" t="str">
        <f>IF(A276="","",SUMIF('Orçamento Anual'!B:B,A276,'Orçamento Anual'!D:D))</f>
        <v/>
      </c>
      <c r="C276" t="str">
        <f>IF(A276="","",SUMIF(Realizado!D:D,A276,Realizado!E:E))</f>
        <v/>
      </c>
      <c r="D276" t="str">
        <f t="shared" si="4"/>
        <v/>
      </c>
    </row>
    <row r="277" spans="2:4" x14ac:dyDescent="0.25">
      <c r="B277" t="str">
        <f>IF(A277="","",SUMIF('Orçamento Anual'!B:B,A277,'Orçamento Anual'!D:D))</f>
        <v/>
      </c>
      <c r="C277" t="str">
        <f>IF(A277="","",SUMIF(Realizado!D:D,A277,Realizado!E:E))</f>
        <v/>
      </c>
      <c r="D277" t="str">
        <f t="shared" si="4"/>
        <v/>
      </c>
    </row>
    <row r="278" spans="2:4" x14ac:dyDescent="0.25">
      <c r="B278" t="str">
        <f>IF(A278="","",SUMIF('Orçamento Anual'!B:B,A278,'Orçamento Anual'!D:D))</f>
        <v/>
      </c>
      <c r="C278" t="str">
        <f>IF(A278="","",SUMIF(Realizado!D:D,A278,Realizado!E:E))</f>
        <v/>
      </c>
      <c r="D278" t="str">
        <f t="shared" si="4"/>
        <v/>
      </c>
    </row>
    <row r="279" spans="2:4" x14ac:dyDescent="0.25">
      <c r="B279" t="str">
        <f>IF(A279="","",SUMIF('Orçamento Anual'!B:B,A279,'Orçamento Anual'!D:D))</f>
        <v/>
      </c>
      <c r="C279" t="str">
        <f>IF(A279="","",SUMIF(Realizado!D:D,A279,Realizado!E:E))</f>
        <v/>
      </c>
      <c r="D279" t="str">
        <f t="shared" si="4"/>
        <v/>
      </c>
    </row>
    <row r="280" spans="2:4" x14ac:dyDescent="0.25">
      <c r="B280" t="str">
        <f>IF(A280="","",SUMIF('Orçamento Anual'!B:B,A280,'Orçamento Anual'!D:D))</f>
        <v/>
      </c>
      <c r="C280" t="str">
        <f>IF(A280="","",SUMIF(Realizado!D:D,A280,Realizado!E:E))</f>
        <v/>
      </c>
      <c r="D280" t="str">
        <f t="shared" si="4"/>
        <v/>
      </c>
    </row>
    <row r="281" spans="2:4" x14ac:dyDescent="0.25">
      <c r="B281" t="str">
        <f>IF(A281="","",SUMIF('Orçamento Anual'!B:B,A281,'Orçamento Anual'!D:D))</f>
        <v/>
      </c>
      <c r="C281" t="str">
        <f>IF(A281="","",SUMIF(Realizado!D:D,A281,Realizado!E:E))</f>
        <v/>
      </c>
      <c r="D281" t="str">
        <f t="shared" si="4"/>
        <v/>
      </c>
    </row>
    <row r="282" spans="2:4" x14ac:dyDescent="0.25">
      <c r="B282" t="str">
        <f>IF(A282="","",SUMIF('Orçamento Anual'!B:B,A282,'Orçamento Anual'!D:D))</f>
        <v/>
      </c>
      <c r="C282" t="str">
        <f>IF(A282="","",SUMIF(Realizado!D:D,A282,Realizado!E:E))</f>
        <v/>
      </c>
      <c r="D282" t="str">
        <f t="shared" si="4"/>
        <v/>
      </c>
    </row>
    <row r="283" spans="2:4" x14ac:dyDescent="0.25">
      <c r="B283" t="str">
        <f>IF(A283="","",SUMIF('Orçamento Anual'!B:B,A283,'Orçamento Anual'!D:D))</f>
        <v/>
      </c>
      <c r="C283" t="str">
        <f>IF(A283="","",SUMIF(Realizado!D:D,A283,Realizado!E:E))</f>
        <v/>
      </c>
      <c r="D283" t="str">
        <f t="shared" si="4"/>
        <v/>
      </c>
    </row>
    <row r="284" spans="2:4" x14ac:dyDescent="0.25">
      <c r="B284" t="str">
        <f>IF(A284="","",SUMIF('Orçamento Anual'!B:B,A284,'Orçamento Anual'!D:D))</f>
        <v/>
      </c>
      <c r="C284" t="str">
        <f>IF(A284="","",SUMIF(Realizado!D:D,A284,Realizado!E:E))</f>
        <v/>
      </c>
      <c r="D284" t="str">
        <f t="shared" si="4"/>
        <v/>
      </c>
    </row>
    <row r="285" spans="2:4" x14ac:dyDescent="0.25">
      <c r="B285" t="str">
        <f>IF(A285="","",SUMIF('Orçamento Anual'!B:B,A285,'Orçamento Anual'!D:D))</f>
        <v/>
      </c>
      <c r="C285" t="str">
        <f>IF(A285="","",SUMIF(Realizado!D:D,A285,Realizado!E:E))</f>
        <v/>
      </c>
      <c r="D285" t="str">
        <f t="shared" si="4"/>
        <v/>
      </c>
    </row>
    <row r="286" spans="2:4" x14ac:dyDescent="0.25">
      <c r="B286" t="str">
        <f>IF(A286="","",SUMIF('Orçamento Anual'!B:B,A286,'Orçamento Anual'!D:D))</f>
        <v/>
      </c>
      <c r="C286" t="str">
        <f>IF(A286="","",SUMIF(Realizado!D:D,A286,Realizado!E:E))</f>
        <v/>
      </c>
      <c r="D286" t="str">
        <f t="shared" si="4"/>
        <v/>
      </c>
    </row>
    <row r="287" spans="2:4" x14ac:dyDescent="0.25">
      <c r="B287" t="str">
        <f>IF(A287="","",SUMIF('Orçamento Anual'!B:B,A287,'Orçamento Anual'!D:D))</f>
        <v/>
      </c>
      <c r="C287" t="str">
        <f>IF(A287="","",SUMIF(Realizado!D:D,A287,Realizado!E:E))</f>
        <v/>
      </c>
      <c r="D287" t="str">
        <f t="shared" si="4"/>
        <v/>
      </c>
    </row>
    <row r="288" spans="2:4" x14ac:dyDescent="0.25">
      <c r="B288" t="str">
        <f>IF(A288="","",SUMIF('Orçamento Anual'!B:B,A288,'Orçamento Anual'!D:D))</f>
        <v/>
      </c>
      <c r="C288" t="str">
        <f>IF(A288="","",SUMIF(Realizado!D:D,A288,Realizado!E:E))</f>
        <v/>
      </c>
      <c r="D288" t="str">
        <f t="shared" si="4"/>
        <v/>
      </c>
    </row>
    <row r="289" spans="2:4" x14ac:dyDescent="0.25">
      <c r="B289" t="str">
        <f>IF(A289="","",SUMIF('Orçamento Anual'!B:B,A289,'Orçamento Anual'!D:D))</f>
        <v/>
      </c>
      <c r="C289" t="str">
        <f>IF(A289="","",SUMIF(Realizado!D:D,A289,Realizado!E:E))</f>
        <v/>
      </c>
      <c r="D289" t="str">
        <f t="shared" si="4"/>
        <v/>
      </c>
    </row>
    <row r="290" spans="2:4" x14ac:dyDescent="0.25">
      <c r="B290" t="str">
        <f>IF(A290="","",SUMIF('Orçamento Anual'!B:B,A290,'Orçamento Anual'!D:D))</f>
        <v/>
      </c>
      <c r="C290" t="str">
        <f>IF(A290="","",SUMIF(Realizado!D:D,A290,Realizado!E:E))</f>
        <v/>
      </c>
      <c r="D290" t="str">
        <f t="shared" si="4"/>
        <v/>
      </c>
    </row>
    <row r="291" spans="2:4" x14ac:dyDescent="0.25">
      <c r="B291" t="str">
        <f>IF(A291="","",SUMIF('Orçamento Anual'!B:B,A291,'Orçamento Anual'!D:D))</f>
        <v/>
      </c>
      <c r="C291" t="str">
        <f>IF(A291="","",SUMIF(Realizado!D:D,A291,Realizado!E:E))</f>
        <v/>
      </c>
      <c r="D291" t="str">
        <f t="shared" si="4"/>
        <v/>
      </c>
    </row>
    <row r="292" spans="2:4" x14ac:dyDescent="0.25">
      <c r="B292" t="str">
        <f>IF(A292="","",SUMIF('Orçamento Anual'!B:B,A292,'Orçamento Anual'!D:D))</f>
        <v/>
      </c>
      <c r="C292" t="str">
        <f>IF(A292="","",SUMIF(Realizado!D:D,A292,Realizado!E:E))</f>
        <v/>
      </c>
      <c r="D292" t="str">
        <f t="shared" si="4"/>
        <v/>
      </c>
    </row>
    <row r="293" spans="2:4" x14ac:dyDescent="0.25">
      <c r="B293" t="str">
        <f>IF(A293="","",SUMIF('Orçamento Anual'!B:B,A293,'Orçamento Anual'!D:D))</f>
        <v/>
      </c>
      <c r="C293" t="str">
        <f>IF(A293="","",SUMIF(Realizado!D:D,A293,Realizado!E:E))</f>
        <v/>
      </c>
      <c r="D293" t="str">
        <f t="shared" si="4"/>
        <v/>
      </c>
    </row>
    <row r="294" spans="2:4" x14ac:dyDescent="0.25">
      <c r="B294" t="str">
        <f>IF(A294="","",SUMIF('Orçamento Anual'!B:B,A294,'Orçamento Anual'!D:D))</f>
        <v/>
      </c>
      <c r="C294" t="str">
        <f>IF(A294="","",SUMIF(Realizado!D:D,A294,Realizado!E:E))</f>
        <v/>
      </c>
      <c r="D294" t="str">
        <f t="shared" si="4"/>
        <v/>
      </c>
    </row>
    <row r="295" spans="2:4" x14ac:dyDescent="0.25">
      <c r="B295" t="str">
        <f>IF(A295="","",SUMIF('Orçamento Anual'!B:B,A295,'Orçamento Anual'!D:D))</f>
        <v/>
      </c>
      <c r="C295" t="str">
        <f>IF(A295="","",SUMIF(Realizado!D:D,A295,Realizado!E:E))</f>
        <v/>
      </c>
      <c r="D295" t="str">
        <f t="shared" si="4"/>
        <v/>
      </c>
    </row>
    <row r="296" spans="2:4" x14ac:dyDescent="0.25">
      <c r="B296" t="str">
        <f>IF(A296="","",SUMIF('Orçamento Anual'!B:B,A296,'Orçamento Anual'!D:D))</f>
        <v/>
      </c>
      <c r="C296" t="str">
        <f>IF(A296="","",SUMIF(Realizado!D:D,A296,Realizado!E:E))</f>
        <v/>
      </c>
      <c r="D296" t="str">
        <f t="shared" si="4"/>
        <v/>
      </c>
    </row>
    <row r="297" spans="2:4" x14ac:dyDescent="0.25">
      <c r="B297" t="str">
        <f>IF(A297="","",SUMIF('Orçamento Anual'!B:B,A297,'Orçamento Anual'!D:D))</f>
        <v/>
      </c>
      <c r="C297" t="str">
        <f>IF(A297="","",SUMIF(Realizado!D:D,A297,Realizado!E:E))</f>
        <v/>
      </c>
      <c r="D297" t="str">
        <f t="shared" si="4"/>
        <v/>
      </c>
    </row>
    <row r="298" spans="2:4" x14ac:dyDescent="0.25">
      <c r="B298" t="str">
        <f>IF(A298="","",SUMIF('Orçamento Anual'!B:B,A298,'Orçamento Anual'!D:D))</f>
        <v/>
      </c>
      <c r="C298" t="str">
        <f>IF(A298="","",SUMIF(Realizado!D:D,A298,Realizado!E:E))</f>
        <v/>
      </c>
      <c r="D298" t="str">
        <f t="shared" si="4"/>
        <v/>
      </c>
    </row>
    <row r="299" spans="2:4" x14ac:dyDescent="0.25">
      <c r="B299" t="str">
        <f>IF(A299="","",SUMIF('Orçamento Anual'!B:B,A299,'Orçamento Anual'!D:D))</f>
        <v/>
      </c>
      <c r="C299" t="str">
        <f>IF(A299="","",SUMIF(Realizado!D:D,A299,Realizado!E:E))</f>
        <v/>
      </c>
      <c r="D299" t="str">
        <f t="shared" si="4"/>
        <v/>
      </c>
    </row>
    <row r="300" spans="2:4" x14ac:dyDescent="0.25">
      <c r="B300" t="str">
        <f>IF(A300="","",SUMIF('Orçamento Anual'!B:B,A300,'Orçamento Anual'!D:D))</f>
        <v/>
      </c>
      <c r="C300" t="str">
        <f>IF(A300="","",SUMIF(Realizado!D:D,A300,Realizado!E:E))</f>
        <v/>
      </c>
      <c r="D300" t="str">
        <f t="shared" si="4"/>
        <v/>
      </c>
    </row>
    <row r="301" spans="2:4" x14ac:dyDescent="0.25">
      <c r="B301" t="str">
        <f>IF(A301="","",SUMIF('Orçamento Anual'!B:B,A301,'Orçamento Anual'!D:D))</f>
        <v/>
      </c>
      <c r="C301" t="str">
        <f>IF(A301="","",SUMIF(Realizado!D:D,A301,Realizado!E:E))</f>
        <v/>
      </c>
      <c r="D301" t="str">
        <f t="shared" si="4"/>
        <v/>
      </c>
    </row>
    <row r="302" spans="2:4" x14ac:dyDescent="0.25">
      <c r="B302" t="str">
        <f>IF(A302="","",SUMIF('Orçamento Anual'!B:B,A302,'Orçamento Anual'!D:D))</f>
        <v/>
      </c>
      <c r="C302" t="str">
        <f>IF(A302="","",SUMIF(Realizado!D:D,A302,Realizado!E:E))</f>
        <v/>
      </c>
      <c r="D302" t="str">
        <f t="shared" si="4"/>
        <v/>
      </c>
    </row>
    <row r="303" spans="2:4" x14ac:dyDescent="0.25">
      <c r="B303" t="str">
        <f>IF(A303="","",SUMIF('Orçamento Anual'!B:B,A303,'Orçamento Anual'!D:D))</f>
        <v/>
      </c>
      <c r="C303" t="str">
        <f>IF(A303="","",SUMIF(Realizado!D:D,A303,Realizado!E:E))</f>
        <v/>
      </c>
      <c r="D303" t="str">
        <f t="shared" si="4"/>
        <v/>
      </c>
    </row>
    <row r="304" spans="2:4" x14ac:dyDescent="0.25">
      <c r="B304" t="str">
        <f>IF(A304="","",SUMIF('Orçamento Anual'!B:B,A304,'Orçamento Anual'!D:D))</f>
        <v/>
      </c>
      <c r="C304" t="str">
        <f>IF(A304="","",SUMIF(Realizado!D:D,A304,Realizado!E:E))</f>
        <v/>
      </c>
      <c r="D304" t="str">
        <f t="shared" si="4"/>
        <v/>
      </c>
    </row>
    <row r="305" spans="2:4" x14ac:dyDescent="0.25">
      <c r="B305" t="str">
        <f>IF(A305="","",SUMIF('Orçamento Anual'!B:B,A305,'Orçamento Anual'!D:D))</f>
        <v/>
      </c>
      <c r="C305" t="str">
        <f>IF(A305="","",SUMIF(Realizado!D:D,A305,Realizado!E:E))</f>
        <v/>
      </c>
      <c r="D305" t="str">
        <f t="shared" si="4"/>
        <v/>
      </c>
    </row>
    <row r="306" spans="2:4" x14ac:dyDescent="0.25">
      <c r="B306" t="str">
        <f>IF(A306="","",SUMIF('Orçamento Anual'!B:B,A306,'Orçamento Anual'!D:D))</f>
        <v/>
      </c>
      <c r="C306" t="str">
        <f>IF(A306="","",SUMIF(Realizado!D:D,A306,Realizado!E:E))</f>
        <v/>
      </c>
      <c r="D306" t="str">
        <f t="shared" si="4"/>
        <v/>
      </c>
    </row>
    <row r="307" spans="2:4" x14ac:dyDescent="0.25">
      <c r="B307" t="str">
        <f>IF(A307="","",SUMIF('Orçamento Anual'!B:B,A307,'Orçamento Anual'!D:D))</f>
        <v/>
      </c>
      <c r="C307" t="str">
        <f>IF(A307="","",SUMIF(Realizado!D:D,A307,Realizado!E:E))</f>
        <v/>
      </c>
      <c r="D307" t="str">
        <f t="shared" si="4"/>
        <v/>
      </c>
    </row>
    <row r="308" spans="2:4" x14ac:dyDescent="0.25">
      <c r="B308" t="str">
        <f>IF(A308="","",SUMIF('Orçamento Anual'!B:B,A308,'Orçamento Anual'!D:D))</f>
        <v/>
      </c>
      <c r="C308" t="str">
        <f>IF(A308="","",SUMIF(Realizado!D:D,A308,Realizado!E:E))</f>
        <v/>
      </c>
      <c r="D308" t="str">
        <f t="shared" si="4"/>
        <v/>
      </c>
    </row>
    <row r="309" spans="2:4" x14ac:dyDescent="0.25">
      <c r="B309" t="str">
        <f>IF(A309="","",SUMIF('Orçamento Anual'!B:B,A309,'Orçamento Anual'!D:D))</f>
        <v/>
      </c>
      <c r="C309" t="str">
        <f>IF(A309="","",SUMIF(Realizado!D:D,A309,Realizado!E:E))</f>
        <v/>
      </c>
      <c r="D309" t="str">
        <f t="shared" si="4"/>
        <v/>
      </c>
    </row>
    <row r="310" spans="2:4" x14ac:dyDescent="0.25">
      <c r="B310" t="str">
        <f>IF(A310="","",SUMIF('Orçamento Anual'!B:B,A310,'Orçamento Anual'!D:D))</f>
        <v/>
      </c>
      <c r="C310" t="str">
        <f>IF(A310="","",SUMIF(Realizado!D:D,A310,Realizado!E:E))</f>
        <v/>
      </c>
      <c r="D310" t="str">
        <f t="shared" si="4"/>
        <v/>
      </c>
    </row>
    <row r="311" spans="2:4" x14ac:dyDescent="0.25">
      <c r="B311" t="str">
        <f>IF(A311="","",SUMIF('Orçamento Anual'!B:B,A311,'Orçamento Anual'!D:D))</f>
        <v/>
      </c>
      <c r="C311" t="str">
        <f>IF(A311="","",SUMIF(Realizado!D:D,A311,Realizado!E:E))</f>
        <v/>
      </c>
      <c r="D311" t="str">
        <f t="shared" si="4"/>
        <v/>
      </c>
    </row>
    <row r="312" spans="2:4" x14ac:dyDescent="0.25">
      <c r="B312" t="str">
        <f>IF(A312="","",SUMIF('Orçamento Anual'!B:B,A312,'Orçamento Anual'!D:D))</f>
        <v/>
      </c>
      <c r="C312" t="str">
        <f>IF(A312="","",SUMIF(Realizado!D:D,A312,Realizado!E:E))</f>
        <v/>
      </c>
      <c r="D312" t="str">
        <f t="shared" si="4"/>
        <v/>
      </c>
    </row>
    <row r="313" spans="2:4" x14ac:dyDescent="0.25">
      <c r="B313" t="str">
        <f>IF(A313="","",SUMIF('Orçamento Anual'!B:B,A313,'Orçamento Anual'!D:D))</f>
        <v/>
      </c>
      <c r="C313" t="str">
        <f>IF(A313="","",SUMIF(Realizado!D:D,A313,Realizado!E:E))</f>
        <v/>
      </c>
      <c r="D313" t="str">
        <f t="shared" si="4"/>
        <v/>
      </c>
    </row>
    <row r="314" spans="2:4" x14ac:dyDescent="0.25">
      <c r="B314" t="str">
        <f>IF(A314="","",SUMIF('Orçamento Anual'!B:B,A314,'Orçamento Anual'!D:D))</f>
        <v/>
      </c>
      <c r="C314" t="str">
        <f>IF(A314="","",SUMIF(Realizado!D:D,A314,Realizado!E:E))</f>
        <v/>
      </c>
      <c r="D314" t="str">
        <f t="shared" si="4"/>
        <v/>
      </c>
    </row>
    <row r="315" spans="2:4" x14ac:dyDescent="0.25">
      <c r="B315" t="str">
        <f>IF(A315="","",SUMIF('Orçamento Anual'!B:B,A315,'Orçamento Anual'!D:D))</f>
        <v/>
      </c>
      <c r="C315" t="str">
        <f>IF(A315="","",SUMIF(Realizado!D:D,A315,Realizado!E:E))</f>
        <v/>
      </c>
      <c r="D315" t="str">
        <f t="shared" si="4"/>
        <v/>
      </c>
    </row>
    <row r="316" spans="2:4" x14ac:dyDescent="0.25">
      <c r="B316" t="str">
        <f>IF(A316="","",SUMIF('Orçamento Anual'!B:B,A316,'Orçamento Anual'!D:D))</f>
        <v/>
      </c>
      <c r="C316" t="str">
        <f>IF(A316="","",SUMIF(Realizado!D:D,A316,Realizado!E:E))</f>
        <v/>
      </c>
      <c r="D316" t="str">
        <f t="shared" si="4"/>
        <v/>
      </c>
    </row>
    <row r="317" spans="2:4" x14ac:dyDescent="0.25">
      <c r="B317" t="str">
        <f>IF(A317="","",SUMIF('Orçamento Anual'!B:B,A317,'Orçamento Anual'!D:D))</f>
        <v/>
      </c>
      <c r="C317" t="str">
        <f>IF(A317="","",SUMIF(Realizado!D:D,A317,Realizado!E:E))</f>
        <v/>
      </c>
      <c r="D317" t="str">
        <f t="shared" si="4"/>
        <v/>
      </c>
    </row>
    <row r="318" spans="2:4" x14ac:dyDescent="0.25">
      <c r="B318" t="str">
        <f>IF(A318="","",SUMIF('Orçamento Anual'!B:B,A318,'Orçamento Anual'!D:D))</f>
        <v/>
      </c>
      <c r="C318" t="str">
        <f>IF(A318="","",SUMIF(Realizado!D:D,A318,Realizado!E:E))</f>
        <v/>
      </c>
      <c r="D318" t="str">
        <f t="shared" si="4"/>
        <v/>
      </c>
    </row>
    <row r="319" spans="2:4" x14ac:dyDescent="0.25">
      <c r="B319" t="str">
        <f>IF(A319="","",SUMIF('Orçamento Anual'!B:B,A319,'Orçamento Anual'!D:D))</f>
        <v/>
      </c>
      <c r="C319" t="str">
        <f>IF(A319="","",SUMIF(Realizado!D:D,A319,Realizado!E:E))</f>
        <v/>
      </c>
      <c r="D319" t="str">
        <f t="shared" si="4"/>
        <v/>
      </c>
    </row>
    <row r="320" spans="2:4" x14ac:dyDescent="0.25">
      <c r="B320" t="str">
        <f>IF(A320="","",SUMIF('Orçamento Anual'!B:B,A320,'Orçamento Anual'!D:D))</f>
        <v/>
      </c>
      <c r="C320" t="str">
        <f>IF(A320="","",SUMIF(Realizado!D:D,A320,Realizado!E:E))</f>
        <v/>
      </c>
      <c r="D320" t="str">
        <f t="shared" si="4"/>
        <v/>
      </c>
    </row>
    <row r="321" spans="2:4" x14ac:dyDescent="0.25">
      <c r="B321" t="str">
        <f>IF(A321="","",SUMIF('Orçamento Anual'!B:B,A321,'Orçamento Anual'!D:D))</f>
        <v/>
      </c>
      <c r="C321" t="str">
        <f>IF(A321="","",SUMIF(Realizado!D:D,A321,Realizado!E:E))</f>
        <v/>
      </c>
      <c r="D321" t="str">
        <f t="shared" si="4"/>
        <v/>
      </c>
    </row>
    <row r="322" spans="2:4" x14ac:dyDescent="0.25">
      <c r="B322" t="str">
        <f>IF(A322="","",SUMIF('Orçamento Anual'!B:B,A322,'Orçamento Anual'!D:D))</f>
        <v/>
      </c>
      <c r="C322" t="str">
        <f>IF(A322="","",SUMIF(Realizado!D:D,A322,Realizado!E:E))</f>
        <v/>
      </c>
      <c r="D322" t="str">
        <f t="shared" ref="D322:D385" si="5">IF(A322="","",C322-B322)</f>
        <v/>
      </c>
    </row>
    <row r="323" spans="2:4" x14ac:dyDescent="0.25">
      <c r="B323" t="str">
        <f>IF(A323="","",SUMIF('Orçamento Anual'!B:B,A323,'Orçamento Anual'!D:D))</f>
        <v/>
      </c>
      <c r="C323" t="str">
        <f>IF(A323="","",SUMIF(Realizado!D:D,A323,Realizado!E:E))</f>
        <v/>
      </c>
      <c r="D323" t="str">
        <f t="shared" si="5"/>
        <v/>
      </c>
    </row>
    <row r="324" spans="2:4" x14ac:dyDescent="0.25">
      <c r="B324" t="str">
        <f>IF(A324="","",SUMIF('Orçamento Anual'!B:B,A324,'Orçamento Anual'!D:D))</f>
        <v/>
      </c>
      <c r="C324" t="str">
        <f>IF(A324="","",SUMIF(Realizado!D:D,A324,Realizado!E:E))</f>
        <v/>
      </c>
      <c r="D324" t="str">
        <f t="shared" si="5"/>
        <v/>
      </c>
    </row>
    <row r="325" spans="2:4" x14ac:dyDescent="0.25">
      <c r="B325" t="str">
        <f>IF(A325="","",SUMIF('Orçamento Anual'!B:B,A325,'Orçamento Anual'!D:D))</f>
        <v/>
      </c>
      <c r="C325" t="str">
        <f>IF(A325="","",SUMIF(Realizado!D:D,A325,Realizado!E:E))</f>
        <v/>
      </c>
      <c r="D325" t="str">
        <f t="shared" si="5"/>
        <v/>
      </c>
    </row>
    <row r="326" spans="2:4" x14ac:dyDescent="0.25">
      <c r="B326" t="str">
        <f>IF(A326="","",SUMIF('Orçamento Anual'!B:B,A326,'Orçamento Anual'!D:D))</f>
        <v/>
      </c>
      <c r="C326" t="str">
        <f>IF(A326="","",SUMIF(Realizado!D:D,A326,Realizado!E:E))</f>
        <v/>
      </c>
      <c r="D326" t="str">
        <f t="shared" si="5"/>
        <v/>
      </c>
    </row>
    <row r="327" spans="2:4" x14ac:dyDescent="0.25">
      <c r="B327" t="str">
        <f>IF(A327="","",SUMIF('Orçamento Anual'!B:B,A327,'Orçamento Anual'!D:D))</f>
        <v/>
      </c>
      <c r="C327" t="str">
        <f>IF(A327="","",SUMIF(Realizado!D:D,A327,Realizado!E:E))</f>
        <v/>
      </c>
      <c r="D327" t="str">
        <f t="shared" si="5"/>
        <v/>
      </c>
    </row>
    <row r="328" spans="2:4" x14ac:dyDescent="0.25">
      <c r="B328" t="str">
        <f>IF(A328="","",SUMIF('Orçamento Anual'!B:B,A328,'Orçamento Anual'!D:D))</f>
        <v/>
      </c>
      <c r="C328" t="str">
        <f>IF(A328="","",SUMIF(Realizado!D:D,A328,Realizado!E:E))</f>
        <v/>
      </c>
      <c r="D328" t="str">
        <f t="shared" si="5"/>
        <v/>
      </c>
    </row>
    <row r="329" spans="2:4" x14ac:dyDescent="0.25">
      <c r="B329" t="str">
        <f>IF(A329="","",SUMIF('Orçamento Anual'!B:B,A329,'Orçamento Anual'!D:D))</f>
        <v/>
      </c>
      <c r="C329" t="str">
        <f>IF(A329="","",SUMIF(Realizado!D:D,A329,Realizado!E:E))</f>
        <v/>
      </c>
      <c r="D329" t="str">
        <f t="shared" si="5"/>
        <v/>
      </c>
    </row>
    <row r="330" spans="2:4" x14ac:dyDescent="0.25">
      <c r="B330" t="str">
        <f>IF(A330="","",SUMIF('Orçamento Anual'!B:B,A330,'Orçamento Anual'!D:D))</f>
        <v/>
      </c>
      <c r="C330" t="str">
        <f>IF(A330="","",SUMIF(Realizado!D:D,A330,Realizado!E:E))</f>
        <v/>
      </c>
      <c r="D330" t="str">
        <f t="shared" si="5"/>
        <v/>
      </c>
    </row>
    <row r="331" spans="2:4" x14ac:dyDescent="0.25">
      <c r="B331" t="str">
        <f>IF(A331="","",SUMIF('Orçamento Anual'!B:B,A331,'Orçamento Anual'!D:D))</f>
        <v/>
      </c>
      <c r="C331" t="str">
        <f>IF(A331="","",SUMIF(Realizado!D:D,A331,Realizado!E:E))</f>
        <v/>
      </c>
      <c r="D331" t="str">
        <f t="shared" si="5"/>
        <v/>
      </c>
    </row>
    <row r="332" spans="2:4" x14ac:dyDescent="0.25">
      <c r="B332" t="str">
        <f>IF(A332="","",SUMIF('Orçamento Anual'!B:B,A332,'Orçamento Anual'!D:D))</f>
        <v/>
      </c>
      <c r="C332" t="str">
        <f>IF(A332="","",SUMIF(Realizado!D:D,A332,Realizado!E:E))</f>
        <v/>
      </c>
      <c r="D332" t="str">
        <f t="shared" si="5"/>
        <v/>
      </c>
    </row>
    <row r="333" spans="2:4" x14ac:dyDescent="0.25">
      <c r="B333" t="str">
        <f>IF(A333="","",SUMIF('Orçamento Anual'!B:B,A333,'Orçamento Anual'!D:D))</f>
        <v/>
      </c>
      <c r="C333" t="str">
        <f>IF(A333="","",SUMIF(Realizado!D:D,A333,Realizado!E:E))</f>
        <v/>
      </c>
      <c r="D333" t="str">
        <f t="shared" si="5"/>
        <v/>
      </c>
    </row>
    <row r="334" spans="2:4" x14ac:dyDescent="0.25">
      <c r="B334" t="str">
        <f>IF(A334="","",SUMIF('Orçamento Anual'!B:B,A334,'Orçamento Anual'!D:D))</f>
        <v/>
      </c>
      <c r="C334" t="str">
        <f>IF(A334="","",SUMIF(Realizado!D:D,A334,Realizado!E:E))</f>
        <v/>
      </c>
      <c r="D334" t="str">
        <f t="shared" si="5"/>
        <v/>
      </c>
    </row>
    <row r="335" spans="2:4" x14ac:dyDescent="0.25">
      <c r="B335" t="str">
        <f>IF(A335="","",SUMIF('Orçamento Anual'!B:B,A335,'Orçamento Anual'!D:D))</f>
        <v/>
      </c>
      <c r="C335" t="str">
        <f>IF(A335="","",SUMIF(Realizado!D:D,A335,Realizado!E:E))</f>
        <v/>
      </c>
      <c r="D335" t="str">
        <f t="shared" si="5"/>
        <v/>
      </c>
    </row>
    <row r="336" spans="2:4" x14ac:dyDescent="0.25">
      <c r="B336" t="str">
        <f>IF(A336="","",SUMIF('Orçamento Anual'!B:B,A336,'Orçamento Anual'!D:D))</f>
        <v/>
      </c>
      <c r="C336" t="str">
        <f>IF(A336="","",SUMIF(Realizado!D:D,A336,Realizado!E:E))</f>
        <v/>
      </c>
      <c r="D336" t="str">
        <f t="shared" si="5"/>
        <v/>
      </c>
    </row>
    <row r="337" spans="2:4" x14ac:dyDescent="0.25">
      <c r="B337" t="str">
        <f>IF(A337="","",SUMIF('Orçamento Anual'!B:B,A337,'Orçamento Anual'!D:D))</f>
        <v/>
      </c>
      <c r="C337" t="str">
        <f>IF(A337="","",SUMIF(Realizado!D:D,A337,Realizado!E:E))</f>
        <v/>
      </c>
      <c r="D337" t="str">
        <f t="shared" si="5"/>
        <v/>
      </c>
    </row>
    <row r="338" spans="2:4" x14ac:dyDescent="0.25">
      <c r="B338" t="str">
        <f>IF(A338="","",SUMIF('Orçamento Anual'!B:B,A338,'Orçamento Anual'!D:D))</f>
        <v/>
      </c>
      <c r="C338" t="str">
        <f>IF(A338="","",SUMIF(Realizado!D:D,A338,Realizado!E:E))</f>
        <v/>
      </c>
      <c r="D338" t="str">
        <f t="shared" si="5"/>
        <v/>
      </c>
    </row>
    <row r="339" spans="2:4" x14ac:dyDescent="0.25">
      <c r="B339" t="str">
        <f>IF(A339="","",SUMIF('Orçamento Anual'!B:B,A339,'Orçamento Anual'!D:D))</f>
        <v/>
      </c>
      <c r="C339" t="str">
        <f>IF(A339="","",SUMIF(Realizado!D:D,A339,Realizado!E:E))</f>
        <v/>
      </c>
      <c r="D339" t="str">
        <f t="shared" si="5"/>
        <v/>
      </c>
    </row>
    <row r="340" spans="2:4" x14ac:dyDescent="0.25">
      <c r="B340" t="str">
        <f>IF(A340="","",SUMIF('Orçamento Anual'!B:B,A340,'Orçamento Anual'!D:D))</f>
        <v/>
      </c>
      <c r="C340" t="str">
        <f>IF(A340="","",SUMIF(Realizado!D:D,A340,Realizado!E:E))</f>
        <v/>
      </c>
      <c r="D340" t="str">
        <f t="shared" si="5"/>
        <v/>
      </c>
    </row>
    <row r="341" spans="2:4" x14ac:dyDescent="0.25">
      <c r="B341" t="str">
        <f>IF(A341="","",SUMIF('Orçamento Anual'!B:B,A341,'Orçamento Anual'!D:D))</f>
        <v/>
      </c>
      <c r="C341" t="str">
        <f>IF(A341="","",SUMIF(Realizado!D:D,A341,Realizado!E:E))</f>
        <v/>
      </c>
      <c r="D341" t="str">
        <f t="shared" si="5"/>
        <v/>
      </c>
    </row>
    <row r="342" spans="2:4" x14ac:dyDescent="0.25">
      <c r="B342" t="str">
        <f>IF(A342="","",SUMIF('Orçamento Anual'!B:B,A342,'Orçamento Anual'!D:D))</f>
        <v/>
      </c>
      <c r="C342" t="str">
        <f>IF(A342="","",SUMIF(Realizado!D:D,A342,Realizado!E:E))</f>
        <v/>
      </c>
      <c r="D342" t="str">
        <f t="shared" si="5"/>
        <v/>
      </c>
    </row>
    <row r="343" spans="2:4" x14ac:dyDescent="0.25">
      <c r="B343" t="str">
        <f>IF(A343="","",SUMIF('Orçamento Anual'!B:B,A343,'Orçamento Anual'!D:D))</f>
        <v/>
      </c>
      <c r="C343" t="str">
        <f>IF(A343="","",SUMIF(Realizado!D:D,A343,Realizado!E:E))</f>
        <v/>
      </c>
      <c r="D343" t="str">
        <f t="shared" si="5"/>
        <v/>
      </c>
    </row>
    <row r="344" spans="2:4" x14ac:dyDescent="0.25">
      <c r="B344" t="str">
        <f>IF(A344="","",SUMIF('Orçamento Anual'!B:B,A344,'Orçamento Anual'!D:D))</f>
        <v/>
      </c>
      <c r="C344" t="str">
        <f>IF(A344="","",SUMIF(Realizado!D:D,A344,Realizado!E:E))</f>
        <v/>
      </c>
      <c r="D344" t="str">
        <f t="shared" si="5"/>
        <v/>
      </c>
    </row>
    <row r="345" spans="2:4" x14ac:dyDescent="0.25">
      <c r="B345" t="str">
        <f>IF(A345="","",SUMIF('Orçamento Anual'!B:B,A345,'Orçamento Anual'!D:D))</f>
        <v/>
      </c>
      <c r="C345" t="str">
        <f>IF(A345="","",SUMIF(Realizado!D:D,A345,Realizado!E:E))</f>
        <v/>
      </c>
      <c r="D345" t="str">
        <f t="shared" si="5"/>
        <v/>
      </c>
    </row>
    <row r="346" spans="2:4" x14ac:dyDescent="0.25">
      <c r="B346" t="str">
        <f>IF(A346="","",SUMIF('Orçamento Anual'!B:B,A346,'Orçamento Anual'!D:D))</f>
        <v/>
      </c>
      <c r="C346" t="str">
        <f>IF(A346="","",SUMIF(Realizado!D:D,A346,Realizado!E:E))</f>
        <v/>
      </c>
      <c r="D346" t="str">
        <f t="shared" si="5"/>
        <v/>
      </c>
    </row>
    <row r="347" spans="2:4" x14ac:dyDescent="0.25">
      <c r="B347" t="str">
        <f>IF(A347="","",SUMIF('Orçamento Anual'!B:B,A347,'Orçamento Anual'!D:D))</f>
        <v/>
      </c>
      <c r="C347" t="str">
        <f>IF(A347="","",SUMIF(Realizado!D:D,A347,Realizado!E:E))</f>
        <v/>
      </c>
      <c r="D347" t="str">
        <f t="shared" si="5"/>
        <v/>
      </c>
    </row>
    <row r="348" spans="2:4" x14ac:dyDescent="0.25">
      <c r="B348" t="str">
        <f>IF(A348="","",SUMIF('Orçamento Anual'!B:B,A348,'Orçamento Anual'!D:D))</f>
        <v/>
      </c>
      <c r="C348" t="str">
        <f>IF(A348="","",SUMIF(Realizado!D:D,A348,Realizado!E:E))</f>
        <v/>
      </c>
      <c r="D348" t="str">
        <f t="shared" si="5"/>
        <v/>
      </c>
    </row>
    <row r="349" spans="2:4" x14ac:dyDescent="0.25">
      <c r="B349" t="str">
        <f>IF(A349="","",SUMIF('Orçamento Anual'!B:B,A349,'Orçamento Anual'!D:D))</f>
        <v/>
      </c>
      <c r="C349" t="str">
        <f>IF(A349="","",SUMIF(Realizado!D:D,A349,Realizado!E:E))</f>
        <v/>
      </c>
      <c r="D349" t="str">
        <f t="shared" si="5"/>
        <v/>
      </c>
    </row>
    <row r="350" spans="2:4" x14ac:dyDescent="0.25">
      <c r="B350" t="str">
        <f>IF(A350="","",SUMIF('Orçamento Anual'!B:B,A350,'Orçamento Anual'!D:D))</f>
        <v/>
      </c>
      <c r="C350" t="str">
        <f>IF(A350="","",SUMIF(Realizado!D:D,A350,Realizado!E:E))</f>
        <v/>
      </c>
      <c r="D350" t="str">
        <f t="shared" si="5"/>
        <v/>
      </c>
    </row>
    <row r="351" spans="2:4" x14ac:dyDescent="0.25">
      <c r="B351" t="str">
        <f>IF(A351="","",SUMIF('Orçamento Anual'!B:B,A351,'Orçamento Anual'!D:D))</f>
        <v/>
      </c>
      <c r="C351" t="str">
        <f>IF(A351="","",SUMIF(Realizado!D:D,A351,Realizado!E:E))</f>
        <v/>
      </c>
      <c r="D351" t="str">
        <f t="shared" si="5"/>
        <v/>
      </c>
    </row>
    <row r="352" spans="2:4" x14ac:dyDescent="0.25">
      <c r="B352" t="str">
        <f>IF(A352="","",SUMIF('Orçamento Anual'!B:B,A352,'Orçamento Anual'!D:D))</f>
        <v/>
      </c>
      <c r="C352" t="str">
        <f>IF(A352="","",SUMIF(Realizado!D:D,A352,Realizado!E:E))</f>
        <v/>
      </c>
      <c r="D352" t="str">
        <f t="shared" si="5"/>
        <v/>
      </c>
    </row>
    <row r="353" spans="2:4" x14ac:dyDescent="0.25">
      <c r="B353" t="str">
        <f>IF(A353="","",SUMIF('Orçamento Anual'!B:B,A353,'Orçamento Anual'!D:D))</f>
        <v/>
      </c>
      <c r="C353" t="str">
        <f>IF(A353="","",SUMIF(Realizado!D:D,A353,Realizado!E:E))</f>
        <v/>
      </c>
      <c r="D353" t="str">
        <f t="shared" si="5"/>
        <v/>
      </c>
    </row>
    <row r="354" spans="2:4" x14ac:dyDescent="0.25">
      <c r="B354" t="str">
        <f>IF(A354="","",SUMIF('Orçamento Anual'!B:B,A354,'Orçamento Anual'!D:D))</f>
        <v/>
      </c>
      <c r="C354" t="str">
        <f>IF(A354="","",SUMIF(Realizado!D:D,A354,Realizado!E:E))</f>
        <v/>
      </c>
      <c r="D354" t="str">
        <f t="shared" si="5"/>
        <v/>
      </c>
    </row>
    <row r="355" spans="2:4" x14ac:dyDescent="0.25">
      <c r="B355" t="str">
        <f>IF(A355="","",SUMIF('Orçamento Anual'!B:B,A355,'Orçamento Anual'!D:D))</f>
        <v/>
      </c>
      <c r="C355" t="str">
        <f>IF(A355="","",SUMIF(Realizado!D:D,A355,Realizado!E:E))</f>
        <v/>
      </c>
      <c r="D355" t="str">
        <f t="shared" si="5"/>
        <v/>
      </c>
    </row>
    <row r="356" spans="2:4" x14ac:dyDescent="0.25">
      <c r="B356" t="str">
        <f>IF(A356="","",SUMIF('Orçamento Anual'!B:B,A356,'Orçamento Anual'!D:D))</f>
        <v/>
      </c>
      <c r="C356" t="str">
        <f>IF(A356="","",SUMIF(Realizado!D:D,A356,Realizado!E:E))</f>
        <v/>
      </c>
      <c r="D356" t="str">
        <f t="shared" si="5"/>
        <v/>
      </c>
    </row>
    <row r="357" spans="2:4" x14ac:dyDescent="0.25">
      <c r="B357" t="str">
        <f>IF(A357="","",SUMIF('Orçamento Anual'!B:B,A357,'Orçamento Anual'!D:D))</f>
        <v/>
      </c>
      <c r="C357" t="str">
        <f>IF(A357="","",SUMIF(Realizado!D:D,A357,Realizado!E:E))</f>
        <v/>
      </c>
      <c r="D357" t="str">
        <f t="shared" si="5"/>
        <v/>
      </c>
    </row>
    <row r="358" spans="2:4" x14ac:dyDescent="0.25">
      <c r="B358" t="str">
        <f>IF(A358="","",SUMIF('Orçamento Anual'!B:B,A358,'Orçamento Anual'!D:D))</f>
        <v/>
      </c>
      <c r="C358" t="str">
        <f>IF(A358="","",SUMIF(Realizado!D:D,A358,Realizado!E:E))</f>
        <v/>
      </c>
      <c r="D358" t="str">
        <f t="shared" si="5"/>
        <v/>
      </c>
    </row>
    <row r="359" spans="2:4" x14ac:dyDescent="0.25">
      <c r="B359" t="str">
        <f>IF(A359="","",SUMIF('Orçamento Anual'!B:B,A359,'Orçamento Anual'!D:D))</f>
        <v/>
      </c>
      <c r="C359" t="str">
        <f>IF(A359="","",SUMIF(Realizado!D:D,A359,Realizado!E:E))</f>
        <v/>
      </c>
      <c r="D359" t="str">
        <f t="shared" si="5"/>
        <v/>
      </c>
    </row>
    <row r="360" spans="2:4" x14ac:dyDescent="0.25">
      <c r="B360" t="str">
        <f>IF(A360="","",SUMIF('Orçamento Anual'!B:B,A360,'Orçamento Anual'!D:D))</f>
        <v/>
      </c>
      <c r="C360" t="str">
        <f>IF(A360="","",SUMIF(Realizado!D:D,A360,Realizado!E:E))</f>
        <v/>
      </c>
      <c r="D360" t="str">
        <f t="shared" si="5"/>
        <v/>
      </c>
    </row>
    <row r="361" spans="2:4" x14ac:dyDescent="0.25">
      <c r="B361" t="str">
        <f>IF(A361="","",SUMIF('Orçamento Anual'!B:B,A361,'Orçamento Anual'!D:D))</f>
        <v/>
      </c>
      <c r="C361" t="str">
        <f>IF(A361="","",SUMIF(Realizado!D:D,A361,Realizado!E:E))</f>
        <v/>
      </c>
      <c r="D361" t="str">
        <f t="shared" si="5"/>
        <v/>
      </c>
    </row>
    <row r="362" spans="2:4" x14ac:dyDescent="0.25">
      <c r="B362" t="str">
        <f>IF(A362="","",SUMIF('Orçamento Anual'!B:B,A362,'Orçamento Anual'!D:D))</f>
        <v/>
      </c>
      <c r="C362" t="str">
        <f>IF(A362="","",SUMIF(Realizado!D:D,A362,Realizado!E:E))</f>
        <v/>
      </c>
      <c r="D362" t="str">
        <f t="shared" si="5"/>
        <v/>
      </c>
    </row>
    <row r="363" spans="2:4" x14ac:dyDescent="0.25">
      <c r="B363" t="str">
        <f>IF(A363="","",SUMIF('Orçamento Anual'!B:B,A363,'Orçamento Anual'!D:D))</f>
        <v/>
      </c>
      <c r="C363" t="str">
        <f>IF(A363="","",SUMIF(Realizado!D:D,A363,Realizado!E:E))</f>
        <v/>
      </c>
      <c r="D363" t="str">
        <f t="shared" si="5"/>
        <v/>
      </c>
    </row>
    <row r="364" spans="2:4" x14ac:dyDescent="0.25">
      <c r="B364" t="str">
        <f>IF(A364="","",SUMIF('Orçamento Anual'!B:B,A364,'Orçamento Anual'!D:D))</f>
        <v/>
      </c>
      <c r="C364" t="str">
        <f>IF(A364="","",SUMIF(Realizado!D:D,A364,Realizado!E:E))</f>
        <v/>
      </c>
      <c r="D364" t="str">
        <f t="shared" si="5"/>
        <v/>
      </c>
    </row>
    <row r="365" spans="2:4" x14ac:dyDescent="0.25">
      <c r="B365" t="str">
        <f>IF(A365="","",SUMIF('Orçamento Anual'!B:B,A365,'Orçamento Anual'!D:D))</f>
        <v/>
      </c>
      <c r="C365" t="str">
        <f>IF(A365="","",SUMIF(Realizado!D:D,A365,Realizado!E:E))</f>
        <v/>
      </c>
      <c r="D365" t="str">
        <f t="shared" si="5"/>
        <v/>
      </c>
    </row>
    <row r="366" spans="2:4" x14ac:dyDescent="0.25">
      <c r="B366" t="str">
        <f>IF(A366="","",SUMIF('Orçamento Anual'!B:B,A366,'Orçamento Anual'!D:D))</f>
        <v/>
      </c>
      <c r="C366" t="str">
        <f>IF(A366="","",SUMIF(Realizado!D:D,A366,Realizado!E:E))</f>
        <v/>
      </c>
      <c r="D366" t="str">
        <f t="shared" si="5"/>
        <v/>
      </c>
    </row>
    <row r="367" spans="2:4" x14ac:dyDescent="0.25">
      <c r="B367" t="str">
        <f>IF(A367="","",SUMIF('Orçamento Anual'!B:B,A367,'Orçamento Anual'!D:D))</f>
        <v/>
      </c>
      <c r="C367" t="str">
        <f>IF(A367="","",SUMIF(Realizado!D:D,A367,Realizado!E:E))</f>
        <v/>
      </c>
      <c r="D367" t="str">
        <f t="shared" si="5"/>
        <v/>
      </c>
    </row>
    <row r="368" spans="2:4" x14ac:dyDescent="0.25">
      <c r="B368" t="str">
        <f>IF(A368="","",SUMIF('Orçamento Anual'!B:B,A368,'Orçamento Anual'!D:D))</f>
        <v/>
      </c>
      <c r="C368" t="str">
        <f>IF(A368="","",SUMIF(Realizado!D:D,A368,Realizado!E:E))</f>
        <v/>
      </c>
      <c r="D368" t="str">
        <f t="shared" si="5"/>
        <v/>
      </c>
    </row>
    <row r="369" spans="2:4" x14ac:dyDescent="0.25">
      <c r="B369" t="str">
        <f>IF(A369="","",SUMIF('Orçamento Anual'!B:B,A369,'Orçamento Anual'!D:D))</f>
        <v/>
      </c>
      <c r="C369" t="str">
        <f>IF(A369="","",SUMIF(Realizado!D:D,A369,Realizado!E:E))</f>
        <v/>
      </c>
      <c r="D369" t="str">
        <f t="shared" si="5"/>
        <v/>
      </c>
    </row>
    <row r="370" spans="2:4" x14ac:dyDescent="0.25">
      <c r="B370" t="str">
        <f>IF(A370="","",SUMIF('Orçamento Anual'!B:B,A370,'Orçamento Anual'!D:D))</f>
        <v/>
      </c>
      <c r="C370" t="str">
        <f>IF(A370="","",SUMIF(Realizado!D:D,A370,Realizado!E:E))</f>
        <v/>
      </c>
      <c r="D370" t="str">
        <f t="shared" si="5"/>
        <v/>
      </c>
    </row>
    <row r="371" spans="2:4" x14ac:dyDescent="0.25">
      <c r="B371" t="str">
        <f>IF(A371="","",SUMIF('Orçamento Anual'!B:B,A371,'Orçamento Anual'!D:D))</f>
        <v/>
      </c>
      <c r="C371" t="str">
        <f>IF(A371="","",SUMIF(Realizado!D:D,A371,Realizado!E:E))</f>
        <v/>
      </c>
      <c r="D371" t="str">
        <f t="shared" si="5"/>
        <v/>
      </c>
    </row>
    <row r="372" spans="2:4" x14ac:dyDescent="0.25">
      <c r="B372" t="str">
        <f>IF(A372="","",SUMIF('Orçamento Anual'!B:B,A372,'Orçamento Anual'!D:D))</f>
        <v/>
      </c>
      <c r="C372" t="str">
        <f>IF(A372="","",SUMIF(Realizado!D:D,A372,Realizado!E:E))</f>
        <v/>
      </c>
      <c r="D372" t="str">
        <f t="shared" si="5"/>
        <v/>
      </c>
    </row>
    <row r="373" spans="2:4" x14ac:dyDescent="0.25">
      <c r="B373" t="str">
        <f>IF(A373="","",SUMIF('Orçamento Anual'!B:B,A373,'Orçamento Anual'!D:D))</f>
        <v/>
      </c>
      <c r="C373" t="str">
        <f>IF(A373="","",SUMIF(Realizado!D:D,A373,Realizado!E:E))</f>
        <v/>
      </c>
      <c r="D373" t="str">
        <f t="shared" si="5"/>
        <v/>
      </c>
    </row>
    <row r="374" spans="2:4" x14ac:dyDescent="0.25">
      <c r="B374" t="str">
        <f>IF(A374="","",SUMIF('Orçamento Anual'!B:B,A374,'Orçamento Anual'!D:D))</f>
        <v/>
      </c>
      <c r="C374" t="str">
        <f>IF(A374="","",SUMIF(Realizado!D:D,A374,Realizado!E:E))</f>
        <v/>
      </c>
      <c r="D374" t="str">
        <f t="shared" si="5"/>
        <v/>
      </c>
    </row>
    <row r="375" spans="2:4" x14ac:dyDescent="0.25">
      <c r="B375" t="str">
        <f>IF(A375="","",SUMIF('Orçamento Anual'!B:B,A375,'Orçamento Anual'!D:D))</f>
        <v/>
      </c>
      <c r="C375" t="str">
        <f>IF(A375="","",SUMIF(Realizado!D:D,A375,Realizado!E:E))</f>
        <v/>
      </c>
      <c r="D375" t="str">
        <f t="shared" si="5"/>
        <v/>
      </c>
    </row>
    <row r="376" spans="2:4" x14ac:dyDescent="0.25">
      <c r="B376" t="str">
        <f>IF(A376="","",SUMIF('Orçamento Anual'!B:B,A376,'Orçamento Anual'!D:D))</f>
        <v/>
      </c>
      <c r="C376" t="str">
        <f>IF(A376="","",SUMIF(Realizado!D:D,A376,Realizado!E:E))</f>
        <v/>
      </c>
      <c r="D376" t="str">
        <f t="shared" si="5"/>
        <v/>
      </c>
    </row>
    <row r="377" spans="2:4" x14ac:dyDescent="0.25">
      <c r="B377" t="str">
        <f>IF(A377="","",SUMIF('Orçamento Anual'!B:B,A377,'Orçamento Anual'!D:D))</f>
        <v/>
      </c>
      <c r="C377" t="str">
        <f>IF(A377="","",SUMIF(Realizado!D:D,A377,Realizado!E:E))</f>
        <v/>
      </c>
      <c r="D377" t="str">
        <f t="shared" si="5"/>
        <v/>
      </c>
    </row>
    <row r="378" spans="2:4" x14ac:dyDescent="0.25">
      <c r="B378" t="str">
        <f>IF(A378="","",SUMIF('Orçamento Anual'!B:B,A378,'Orçamento Anual'!D:D))</f>
        <v/>
      </c>
      <c r="C378" t="str">
        <f>IF(A378="","",SUMIF(Realizado!D:D,A378,Realizado!E:E))</f>
        <v/>
      </c>
      <c r="D378" t="str">
        <f t="shared" si="5"/>
        <v/>
      </c>
    </row>
    <row r="379" spans="2:4" x14ac:dyDescent="0.25">
      <c r="B379" t="str">
        <f>IF(A379="","",SUMIF('Orçamento Anual'!B:B,A379,'Orçamento Anual'!D:D))</f>
        <v/>
      </c>
      <c r="C379" t="str">
        <f>IF(A379="","",SUMIF(Realizado!D:D,A379,Realizado!E:E))</f>
        <v/>
      </c>
      <c r="D379" t="str">
        <f t="shared" si="5"/>
        <v/>
      </c>
    </row>
    <row r="380" spans="2:4" x14ac:dyDescent="0.25">
      <c r="B380" t="str">
        <f>IF(A380="","",SUMIF('Orçamento Anual'!B:B,A380,'Orçamento Anual'!D:D))</f>
        <v/>
      </c>
      <c r="C380" t="str">
        <f>IF(A380="","",SUMIF(Realizado!D:D,A380,Realizado!E:E))</f>
        <v/>
      </c>
      <c r="D380" t="str">
        <f t="shared" si="5"/>
        <v/>
      </c>
    </row>
    <row r="381" spans="2:4" x14ac:dyDescent="0.25">
      <c r="B381" t="str">
        <f>IF(A381="","",SUMIF('Orçamento Anual'!B:B,A381,'Orçamento Anual'!D:D))</f>
        <v/>
      </c>
      <c r="C381" t="str">
        <f>IF(A381="","",SUMIF(Realizado!D:D,A381,Realizado!E:E))</f>
        <v/>
      </c>
      <c r="D381" t="str">
        <f t="shared" si="5"/>
        <v/>
      </c>
    </row>
    <row r="382" spans="2:4" x14ac:dyDescent="0.25">
      <c r="B382" t="str">
        <f>IF(A382="","",SUMIF('Orçamento Anual'!B:B,A382,'Orçamento Anual'!D:D))</f>
        <v/>
      </c>
      <c r="C382" t="str">
        <f>IF(A382="","",SUMIF(Realizado!D:D,A382,Realizado!E:E))</f>
        <v/>
      </c>
      <c r="D382" t="str">
        <f t="shared" si="5"/>
        <v/>
      </c>
    </row>
    <row r="383" spans="2:4" x14ac:dyDescent="0.25">
      <c r="B383" t="str">
        <f>IF(A383="","",SUMIF('Orçamento Anual'!B:B,A383,'Orçamento Anual'!D:D))</f>
        <v/>
      </c>
      <c r="C383" t="str">
        <f>IF(A383="","",SUMIF(Realizado!D:D,A383,Realizado!E:E))</f>
        <v/>
      </c>
      <c r="D383" t="str">
        <f t="shared" si="5"/>
        <v/>
      </c>
    </row>
    <row r="384" spans="2:4" x14ac:dyDescent="0.25">
      <c r="B384" t="str">
        <f>IF(A384="","",SUMIF('Orçamento Anual'!B:B,A384,'Orçamento Anual'!D:D))</f>
        <v/>
      </c>
      <c r="C384" t="str">
        <f>IF(A384="","",SUMIF(Realizado!D:D,A384,Realizado!E:E))</f>
        <v/>
      </c>
      <c r="D384" t="str">
        <f t="shared" si="5"/>
        <v/>
      </c>
    </row>
    <row r="385" spans="2:4" x14ac:dyDescent="0.25">
      <c r="B385" t="str">
        <f>IF(A385="","",SUMIF('Orçamento Anual'!B:B,A385,'Orçamento Anual'!D:D))</f>
        <v/>
      </c>
      <c r="C385" t="str">
        <f>IF(A385="","",SUMIF(Realizado!D:D,A385,Realizado!E:E))</f>
        <v/>
      </c>
      <c r="D385" t="str">
        <f t="shared" si="5"/>
        <v/>
      </c>
    </row>
    <row r="386" spans="2:4" x14ac:dyDescent="0.25">
      <c r="B386" t="str">
        <f>IF(A386="","",SUMIF('Orçamento Anual'!B:B,A386,'Orçamento Anual'!D:D))</f>
        <v/>
      </c>
      <c r="C386" t="str">
        <f>IF(A386="","",SUMIF(Realizado!D:D,A386,Realizado!E:E))</f>
        <v/>
      </c>
      <c r="D386" t="str">
        <f t="shared" ref="D386:D449" si="6">IF(A386="","",C386-B386)</f>
        <v/>
      </c>
    </row>
    <row r="387" spans="2:4" x14ac:dyDescent="0.25">
      <c r="B387" t="str">
        <f>IF(A387="","",SUMIF('Orçamento Anual'!B:B,A387,'Orçamento Anual'!D:D))</f>
        <v/>
      </c>
      <c r="C387" t="str">
        <f>IF(A387="","",SUMIF(Realizado!D:D,A387,Realizado!E:E))</f>
        <v/>
      </c>
      <c r="D387" t="str">
        <f t="shared" si="6"/>
        <v/>
      </c>
    </row>
    <row r="388" spans="2:4" x14ac:dyDescent="0.25">
      <c r="B388" t="str">
        <f>IF(A388="","",SUMIF('Orçamento Anual'!B:B,A388,'Orçamento Anual'!D:D))</f>
        <v/>
      </c>
      <c r="C388" t="str">
        <f>IF(A388="","",SUMIF(Realizado!D:D,A388,Realizado!E:E))</f>
        <v/>
      </c>
      <c r="D388" t="str">
        <f t="shared" si="6"/>
        <v/>
      </c>
    </row>
    <row r="389" spans="2:4" x14ac:dyDescent="0.25">
      <c r="B389" t="str">
        <f>IF(A389="","",SUMIF('Orçamento Anual'!B:B,A389,'Orçamento Anual'!D:D))</f>
        <v/>
      </c>
      <c r="C389" t="str">
        <f>IF(A389="","",SUMIF(Realizado!D:D,A389,Realizado!E:E))</f>
        <v/>
      </c>
      <c r="D389" t="str">
        <f t="shared" si="6"/>
        <v/>
      </c>
    </row>
    <row r="390" spans="2:4" x14ac:dyDescent="0.25">
      <c r="B390" t="str">
        <f>IF(A390="","",SUMIF('Orçamento Anual'!B:B,A390,'Orçamento Anual'!D:D))</f>
        <v/>
      </c>
      <c r="C390" t="str">
        <f>IF(A390="","",SUMIF(Realizado!D:D,A390,Realizado!E:E))</f>
        <v/>
      </c>
      <c r="D390" t="str">
        <f t="shared" si="6"/>
        <v/>
      </c>
    </row>
    <row r="391" spans="2:4" x14ac:dyDescent="0.25">
      <c r="B391" t="str">
        <f>IF(A391="","",SUMIF('Orçamento Anual'!B:B,A391,'Orçamento Anual'!D:D))</f>
        <v/>
      </c>
      <c r="C391" t="str">
        <f>IF(A391="","",SUMIF(Realizado!D:D,A391,Realizado!E:E))</f>
        <v/>
      </c>
      <c r="D391" t="str">
        <f t="shared" si="6"/>
        <v/>
      </c>
    </row>
    <row r="392" spans="2:4" x14ac:dyDescent="0.25">
      <c r="B392" t="str">
        <f>IF(A392="","",SUMIF('Orçamento Anual'!B:B,A392,'Orçamento Anual'!D:D))</f>
        <v/>
      </c>
      <c r="C392" t="str">
        <f>IF(A392="","",SUMIF(Realizado!D:D,A392,Realizado!E:E))</f>
        <v/>
      </c>
      <c r="D392" t="str">
        <f t="shared" si="6"/>
        <v/>
      </c>
    </row>
    <row r="393" spans="2:4" x14ac:dyDescent="0.25">
      <c r="B393" t="str">
        <f>IF(A393="","",SUMIF('Orçamento Anual'!B:B,A393,'Orçamento Anual'!D:D))</f>
        <v/>
      </c>
      <c r="C393" t="str">
        <f>IF(A393="","",SUMIF(Realizado!D:D,A393,Realizado!E:E))</f>
        <v/>
      </c>
      <c r="D393" t="str">
        <f t="shared" si="6"/>
        <v/>
      </c>
    </row>
    <row r="394" spans="2:4" x14ac:dyDescent="0.25">
      <c r="B394" t="str">
        <f>IF(A394="","",SUMIF('Orçamento Anual'!B:B,A394,'Orçamento Anual'!D:D))</f>
        <v/>
      </c>
      <c r="C394" t="str">
        <f>IF(A394="","",SUMIF(Realizado!D:D,A394,Realizado!E:E))</f>
        <v/>
      </c>
      <c r="D394" t="str">
        <f t="shared" si="6"/>
        <v/>
      </c>
    </row>
    <row r="395" spans="2:4" x14ac:dyDescent="0.25">
      <c r="B395" t="str">
        <f>IF(A395="","",SUMIF('Orçamento Anual'!B:B,A395,'Orçamento Anual'!D:D))</f>
        <v/>
      </c>
      <c r="C395" t="str">
        <f>IF(A395="","",SUMIF(Realizado!D:D,A395,Realizado!E:E))</f>
        <v/>
      </c>
      <c r="D395" t="str">
        <f t="shared" si="6"/>
        <v/>
      </c>
    </row>
    <row r="396" spans="2:4" x14ac:dyDescent="0.25">
      <c r="B396" t="str">
        <f>IF(A396="","",SUMIF('Orçamento Anual'!B:B,A396,'Orçamento Anual'!D:D))</f>
        <v/>
      </c>
      <c r="C396" t="str">
        <f>IF(A396="","",SUMIF(Realizado!D:D,A396,Realizado!E:E))</f>
        <v/>
      </c>
      <c r="D396" t="str">
        <f t="shared" si="6"/>
        <v/>
      </c>
    </row>
    <row r="397" spans="2:4" x14ac:dyDescent="0.25">
      <c r="B397" t="str">
        <f>IF(A397="","",SUMIF('Orçamento Anual'!B:B,A397,'Orçamento Anual'!D:D))</f>
        <v/>
      </c>
      <c r="C397" t="str">
        <f>IF(A397="","",SUMIF(Realizado!D:D,A397,Realizado!E:E))</f>
        <v/>
      </c>
      <c r="D397" t="str">
        <f t="shared" si="6"/>
        <v/>
      </c>
    </row>
    <row r="398" spans="2:4" x14ac:dyDescent="0.25">
      <c r="B398" t="str">
        <f>IF(A398="","",SUMIF('Orçamento Anual'!B:B,A398,'Orçamento Anual'!D:D))</f>
        <v/>
      </c>
      <c r="C398" t="str">
        <f>IF(A398="","",SUMIF(Realizado!D:D,A398,Realizado!E:E))</f>
        <v/>
      </c>
      <c r="D398" t="str">
        <f t="shared" si="6"/>
        <v/>
      </c>
    </row>
    <row r="399" spans="2:4" x14ac:dyDescent="0.25">
      <c r="B399" t="str">
        <f>IF(A399="","",SUMIF('Orçamento Anual'!B:B,A399,'Orçamento Anual'!D:D))</f>
        <v/>
      </c>
      <c r="C399" t="str">
        <f>IF(A399="","",SUMIF(Realizado!D:D,A399,Realizado!E:E))</f>
        <v/>
      </c>
      <c r="D399" t="str">
        <f t="shared" si="6"/>
        <v/>
      </c>
    </row>
    <row r="400" spans="2:4" x14ac:dyDescent="0.25">
      <c r="B400" t="str">
        <f>IF(A400="","",SUMIF('Orçamento Anual'!B:B,A400,'Orçamento Anual'!D:D))</f>
        <v/>
      </c>
      <c r="C400" t="str">
        <f>IF(A400="","",SUMIF(Realizado!D:D,A400,Realizado!E:E))</f>
        <v/>
      </c>
      <c r="D400" t="str">
        <f t="shared" si="6"/>
        <v/>
      </c>
    </row>
    <row r="401" spans="2:4" x14ac:dyDescent="0.25">
      <c r="B401" t="str">
        <f>IF(A401="","",SUMIF('Orçamento Anual'!B:B,A401,'Orçamento Anual'!D:D))</f>
        <v/>
      </c>
      <c r="C401" t="str">
        <f>IF(A401="","",SUMIF(Realizado!D:D,A401,Realizado!E:E))</f>
        <v/>
      </c>
      <c r="D401" t="str">
        <f t="shared" si="6"/>
        <v/>
      </c>
    </row>
    <row r="402" spans="2:4" x14ac:dyDescent="0.25">
      <c r="B402" t="str">
        <f>IF(A402="","",SUMIF('Orçamento Anual'!B:B,A402,'Orçamento Anual'!D:D))</f>
        <v/>
      </c>
      <c r="C402" t="str">
        <f>IF(A402="","",SUMIF(Realizado!D:D,A402,Realizado!E:E))</f>
        <v/>
      </c>
      <c r="D402" t="str">
        <f t="shared" si="6"/>
        <v/>
      </c>
    </row>
    <row r="403" spans="2:4" x14ac:dyDescent="0.25">
      <c r="B403" t="str">
        <f>IF(A403="","",SUMIF('Orçamento Anual'!B:B,A403,'Orçamento Anual'!D:D))</f>
        <v/>
      </c>
      <c r="C403" t="str">
        <f>IF(A403="","",SUMIF(Realizado!D:D,A403,Realizado!E:E))</f>
        <v/>
      </c>
      <c r="D403" t="str">
        <f t="shared" si="6"/>
        <v/>
      </c>
    </row>
    <row r="404" spans="2:4" x14ac:dyDescent="0.25">
      <c r="B404" t="str">
        <f>IF(A404="","",SUMIF('Orçamento Anual'!B:B,A404,'Orçamento Anual'!D:D))</f>
        <v/>
      </c>
      <c r="C404" t="str">
        <f>IF(A404="","",SUMIF(Realizado!D:D,A404,Realizado!E:E))</f>
        <v/>
      </c>
      <c r="D404" t="str">
        <f t="shared" si="6"/>
        <v/>
      </c>
    </row>
    <row r="405" spans="2:4" x14ac:dyDescent="0.25">
      <c r="B405" t="str">
        <f>IF(A405="","",SUMIF('Orçamento Anual'!B:B,A405,'Orçamento Anual'!D:D))</f>
        <v/>
      </c>
      <c r="C405" t="str">
        <f>IF(A405="","",SUMIF(Realizado!D:D,A405,Realizado!E:E))</f>
        <v/>
      </c>
      <c r="D405" t="str">
        <f t="shared" si="6"/>
        <v/>
      </c>
    </row>
    <row r="406" spans="2:4" x14ac:dyDescent="0.25">
      <c r="B406" t="str">
        <f>IF(A406="","",SUMIF('Orçamento Anual'!B:B,A406,'Orçamento Anual'!D:D))</f>
        <v/>
      </c>
      <c r="C406" t="str">
        <f>IF(A406="","",SUMIF(Realizado!D:D,A406,Realizado!E:E))</f>
        <v/>
      </c>
      <c r="D406" t="str">
        <f t="shared" si="6"/>
        <v/>
      </c>
    </row>
    <row r="407" spans="2:4" x14ac:dyDescent="0.25">
      <c r="B407" t="str">
        <f>IF(A407="","",SUMIF('Orçamento Anual'!B:B,A407,'Orçamento Anual'!D:D))</f>
        <v/>
      </c>
      <c r="C407" t="str">
        <f>IF(A407="","",SUMIF(Realizado!D:D,A407,Realizado!E:E))</f>
        <v/>
      </c>
      <c r="D407" t="str">
        <f t="shared" si="6"/>
        <v/>
      </c>
    </row>
    <row r="408" spans="2:4" x14ac:dyDescent="0.25">
      <c r="B408" t="str">
        <f>IF(A408="","",SUMIF('Orçamento Anual'!B:B,A408,'Orçamento Anual'!D:D))</f>
        <v/>
      </c>
      <c r="C408" t="str">
        <f>IF(A408="","",SUMIF(Realizado!D:D,A408,Realizado!E:E))</f>
        <v/>
      </c>
      <c r="D408" t="str">
        <f t="shared" si="6"/>
        <v/>
      </c>
    </row>
    <row r="409" spans="2:4" x14ac:dyDescent="0.25">
      <c r="B409" t="str">
        <f>IF(A409="","",SUMIF('Orçamento Anual'!B:B,A409,'Orçamento Anual'!D:D))</f>
        <v/>
      </c>
      <c r="C409" t="str">
        <f>IF(A409="","",SUMIF(Realizado!D:D,A409,Realizado!E:E))</f>
        <v/>
      </c>
      <c r="D409" t="str">
        <f t="shared" si="6"/>
        <v/>
      </c>
    </row>
    <row r="410" spans="2:4" x14ac:dyDescent="0.25">
      <c r="B410" t="str">
        <f>IF(A410="","",SUMIF('Orçamento Anual'!B:B,A410,'Orçamento Anual'!D:D))</f>
        <v/>
      </c>
      <c r="C410" t="str">
        <f>IF(A410="","",SUMIF(Realizado!D:D,A410,Realizado!E:E))</f>
        <v/>
      </c>
      <c r="D410" t="str">
        <f t="shared" si="6"/>
        <v/>
      </c>
    </row>
    <row r="411" spans="2:4" x14ac:dyDescent="0.25">
      <c r="B411" t="str">
        <f>IF(A411="","",SUMIF('Orçamento Anual'!B:B,A411,'Orçamento Anual'!D:D))</f>
        <v/>
      </c>
      <c r="C411" t="str">
        <f>IF(A411="","",SUMIF(Realizado!D:D,A411,Realizado!E:E))</f>
        <v/>
      </c>
      <c r="D411" t="str">
        <f t="shared" si="6"/>
        <v/>
      </c>
    </row>
    <row r="412" spans="2:4" x14ac:dyDescent="0.25">
      <c r="B412" t="str">
        <f>IF(A412="","",SUMIF('Orçamento Anual'!B:B,A412,'Orçamento Anual'!D:D))</f>
        <v/>
      </c>
      <c r="C412" t="str">
        <f>IF(A412="","",SUMIF(Realizado!D:D,A412,Realizado!E:E))</f>
        <v/>
      </c>
      <c r="D412" t="str">
        <f t="shared" si="6"/>
        <v/>
      </c>
    </row>
    <row r="413" spans="2:4" x14ac:dyDescent="0.25">
      <c r="B413" t="str">
        <f>IF(A413="","",SUMIF('Orçamento Anual'!B:B,A413,'Orçamento Anual'!D:D))</f>
        <v/>
      </c>
      <c r="C413" t="str">
        <f>IF(A413="","",SUMIF(Realizado!D:D,A413,Realizado!E:E))</f>
        <v/>
      </c>
      <c r="D413" t="str">
        <f t="shared" si="6"/>
        <v/>
      </c>
    </row>
    <row r="414" spans="2:4" x14ac:dyDescent="0.25">
      <c r="B414" t="str">
        <f>IF(A414="","",SUMIF('Orçamento Anual'!B:B,A414,'Orçamento Anual'!D:D))</f>
        <v/>
      </c>
      <c r="C414" t="str">
        <f>IF(A414="","",SUMIF(Realizado!D:D,A414,Realizado!E:E))</f>
        <v/>
      </c>
      <c r="D414" t="str">
        <f t="shared" si="6"/>
        <v/>
      </c>
    </row>
    <row r="415" spans="2:4" x14ac:dyDescent="0.25">
      <c r="B415" t="str">
        <f>IF(A415="","",SUMIF('Orçamento Anual'!B:B,A415,'Orçamento Anual'!D:D))</f>
        <v/>
      </c>
      <c r="C415" t="str">
        <f>IF(A415="","",SUMIF(Realizado!D:D,A415,Realizado!E:E))</f>
        <v/>
      </c>
      <c r="D415" t="str">
        <f t="shared" si="6"/>
        <v/>
      </c>
    </row>
    <row r="416" spans="2:4" x14ac:dyDescent="0.25">
      <c r="B416" t="str">
        <f>IF(A416="","",SUMIF('Orçamento Anual'!B:B,A416,'Orçamento Anual'!D:D))</f>
        <v/>
      </c>
      <c r="C416" t="str">
        <f>IF(A416="","",SUMIF(Realizado!D:D,A416,Realizado!E:E))</f>
        <v/>
      </c>
      <c r="D416" t="str">
        <f t="shared" si="6"/>
        <v/>
      </c>
    </row>
    <row r="417" spans="2:4" x14ac:dyDescent="0.25">
      <c r="B417" t="str">
        <f>IF(A417="","",SUMIF('Orçamento Anual'!B:B,A417,'Orçamento Anual'!D:D))</f>
        <v/>
      </c>
      <c r="C417" t="str">
        <f>IF(A417="","",SUMIF(Realizado!D:D,A417,Realizado!E:E))</f>
        <v/>
      </c>
      <c r="D417" t="str">
        <f t="shared" si="6"/>
        <v/>
      </c>
    </row>
    <row r="418" spans="2:4" x14ac:dyDescent="0.25">
      <c r="B418" t="str">
        <f>IF(A418="","",SUMIF('Orçamento Anual'!B:B,A418,'Orçamento Anual'!D:D))</f>
        <v/>
      </c>
      <c r="C418" t="str">
        <f>IF(A418="","",SUMIF(Realizado!D:D,A418,Realizado!E:E))</f>
        <v/>
      </c>
      <c r="D418" t="str">
        <f t="shared" si="6"/>
        <v/>
      </c>
    </row>
    <row r="419" spans="2:4" x14ac:dyDescent="0.25">
      <c r="B419" t="str">
        <f>IF(A419="","",SUMIF('Orçamento Anual'!B:B,A419,'Orçamento Anual'!D:D))</f>
        <v/>
      </c>
      <c r="C419" t="str">
        <f>IF(A419="","",SUMIF(Realizado!D:D,A419,Realizado!E:E))</f>
        <v/>
      </c>
      <c r="D419" t="str">
        <f t="shared" si="6"/>
        <v/>
      </c>
    </row>
    <row r="420" spans="2:4" x14ac:dyDescent="0.25">
      <c r="B420" t="str">
        <f>IF(A420="","",SUMIF('Orçamento Anual'!B:B,A420,'Orçamento Anual'!D:D))</f>
        <v/>
      </c>
      <c r="C420" t="str">
        <f>IF(A420="","",SUMIF(Realizado!D:D,A420,Realizado!E:E))</f>
        <v/>
      </c>
      <c r="D420" t="str">
        <f t="shared" si="6"/>
        <v/>
      </c>
    </row>
    <row r="421" spans="2:4" x14ac:dyDescent="0.25">
      <c r="B421" t="str">
        <f>IF(A421="","",SUMIF('Orçamento Anual'!B:B,A421,'Orçamento Anual'!D:D))</f>
        <v/>
      </c>
      <c r="C421" t="str">
        <f>IF(A421="","",SUMIF(Realizado!D:D,A421,Realizado!E:E))</f>
        <v/>
      </c>
      <c r="D421" t="str">
        <f t="shared" si="6"/>
        <v/>
      </c>
    </row>
    <row r="422" spans="2:4" x14ac:dyDescent="0.25">
      <c r="B422" t="str">
        <f>IF(A422="","",SUMIF('Orçamento Anual'!B:B,A422,'Orçamento Anual'!D:D))</f>
        <v/>
      </c>
      <c r="C422" t="str">
        <f>IF(A422="","",SUMIF(Realizado!D:D,A422,Realizado!E:E))</f>
        <v/>
      </c>
      <c r="D422" t="str">
        <f t="shared" si="6"/>
        <v/>
      </c>
    </row>
    <row r="423" spans="2:4" x14ac:dyDescent="0.25">
      <c r="B423" t="str">
        <f>IF(A423="","",SUMIF('Orçamento Anual'!B:B,A423,'Orçamento Anual'!D:D))</f>
        <v/>
      </c>
      <c r="C423" t="str">
        <f>IF(A423="","",SUMIF(Realizado!D:D,A423,Realizado!E:E))</f>
        <v/>
      </c>
      <c r="D423" t="str">
        <f t="shared" si="6"/>
        <v/>
      </c>
    </row>
    <row r="424" spans="2:4" x14ac:dyDescent="0.25">
      <c r="B424" t="str">
        <f>IF(A424="","",SUMIF('Orçamento Anual'!B:B,A424,'Orçamento Anual'!D:D))</f>
        <v/>
      </c>
      <c r="C424" t="str">
        <f>IF(A424="","",SUMIF(Realizado!D:D,A424,Realizado!E:E))</f>
        <v/>
      </c>
      <c r="D424" t="str">
        <f t="shared" si="6"/>
        <v/>
      </c>
    </row>
    <row r="425" spans="2:4" x14ac:dyDescent="0.25">
      <c r="B425" t="str">
        <f>IF(A425="","",SUMIF('Orçamento Anual'!B:B,A425,'Orçamento Anual'!D:D))</f>
        <v/>
      </c>
      <c r="C425" t="str">
        <f>IF(A425="","",SUMIF(Realizado!D:D,A425,Realizado!E:E))</f>
        <v/>
      </c>
      <c r="D425" t="str">
        <f t="shared" si="6"/>
        <v/>
      </c>
    </row>
    <row r="426" spans="2:4" x14ac:dyDescent="0.25">
      <c r="B426" t="str">
        <f>IF(A426="","",SUMIF('Orçamento Anual'!B:B,A426,'Orçamento Anual'!D:D))</f>
        <v/>
      </c>
      <c r="C426" t="str">
        <f>IF(A426="","",SUMIF(Realizado!D:D,A426,Realizado!E:E))</f>
        <v/>
      </c>
      <c r="D426" t="str">
        <f t="shared" si="6"/>
        <v/>
      </c>
    </row>
    <row r="427" spans="2:4" x14ac:dyDescent="0.25">
      <c r="B427" t="str">
        <f>IF(A427="","",SUMIF('Orçamento Anual'!B:B,A427,'Orçamento Anual'!D:D))</f>
        <v/>
      </c>
      <c r="C427" t="str">
        <f>IF(A427="","",SUMIF(Realizado!D:D,A427,Realizado!E:E))</f>
        <v/>
      </c>
      <c r="D427" t="str">
        <f t="shared" si="6"/>
        <v/>
      </c>
    </row>
    <row r="428" spans="2:4" x14ac:dyDescent="0.25">
      <c r="B428" t="str">
        <f>IF(A428="","",SUMIF('Orçamento Anual'!B:B,A428,'Orçamento Anual'!D:D))</f>
        <v/>
      </c>
      <c r="C428" t="str">
        <f>IF(A428="","",SUMIF(Realizado!D:D,A428,Realizado!E:E))</f>
        <v/>
      </c>
      <c r="D428" t="str">
        <f t="shared" si="6"/>
        <v/>
      </c>
    </row>
    <row r="429" spans="2:4" x14ac:dyDescent="0.25">
      <c r="B429" t="str">
        <f>IF(A429="","",SUMIF('Orçamento Anual'!B:B,A429,'Orçamento Anual'!D:D))</f>
        <v/>
      </c>
      <c r="C429" t="str">
        <f>IF(A429="","",SUMIF(Realizado!D:D,A429,Realizado!E:E))</f>
        <v/>
      </c>
      <c r="D429" t="str">
        <f t="shared" si="6"/>
        <v/>
      </c>
    </row>
    <row r="430" spans="2:4" x14ac:dyDescent="0.25">
      <c r="B430" t="str">
        <f>IF(A430="","",SUMIF('Orçamento Anual'!B:B,A430,'Orçamento Anual'!D:D))</f>
        <v/>
      </c>
      <c r="C430" t="str">
        <f>IF(A430="","",SUMIF(Realizado!D:D,A430,Realizado!E:E))</f>
        <v/>
      </c>
      <c r="D430" t="str">
        <f t="shared" si="6"/>
        <v/>
      </c>
    </row>
    <row r="431" spans="2:4" x14ac:dyDescent="0.25">
      <c r="B431" t="str">
        <f>IF(A431="","",SUMIF('Orçamento Anual'!B:B,A431,'Orçamento Anual'!D:D))</f>
        <v/>
      </c>
      <c r="C431" t="str">
        <f>IF(A431="","",SUMIF(Realizado!D:D,A431,Realizado!E:E))</f>
        <v/>
      </c>
      <c r="D431" t="str">
        <f t="shared" si="6"/>
        <v/>
      </c>
    </row>
    <row r="432" spans="2:4" x14ac:dyDescent="0.25">
      <c r="B432" t="str">
        <f>IF(A432="","",SUMIF('Orçamento Anual'!B:B,A432,'Orçamento Anual'!D:D))</f>
        <v/>
      </c>
      <c r="C432" t="str">
        <f>IF(A432="","",SUMIF(Realizado!D:D,A432,Realizado!E:E))</f>
        <v/>
      </c>
      <c r="D432" t="str">
        <f t="shared" si="6"/>
        <v/>
      </c>
    </row>
    <row r="433" spans="2:4" x14ac:dyDescent="0.25">
      <c r="B433" t="str">
        <f>IF(A433="","",SUMIF('Orçamento Anual'!B:B,A433,'Orçamento Anual'!D:D))</f>
        <v/>
      </c>
      <c r="C433" t="str">
        <f>IF(A433="","",SUMIF(Realizado!D:D,A433,Realizado!E:E))</f>
        <v/>
      </c>
      <c r="D433" t="str">
        <f t="shared" si="6"/>
        <v/>
      </c>
    </row>
    <row r="434" spans="2:4" x14ac:dyDescent="0.25">
      <c r="B434" t="str">
        <f>IF(A434="","",SUMIF('Orçamento Anual'!B:B,A434,'Orçamento Anual'!D:D))</f>
        <v/>
      </c>
      <c r="C434" t="str">
        <f>IF(A434="","",SUMIF(Realizado!D:D,A434,Realizado!E:E))</f>
        <v/>
      </c>
      <c r="D434" t="str">
        <f t="shared" si="6"/>
        <v/>
      </c>
    </row>
    <row r="435" spans="2:4" x14ac:dyDescent="0.25">
      <c r="B435" t="str">
        <f>IF(A435="","",SUMIF('Orçamento Anual'!B:B,A435,'Orçamento Anual'!D:D))</f>
        <v/>
      </c>
      <c r="C435" t="str">
        <f>IF(A435="","",SUMIF(Realizado!D:D,A435,Realizado!E:E))</f>
        <v/>
      </c>
      <c r="D435" t="str">
        <f t="shared" si="6"/>
        <v/>
      </c>
    </row>
    <row r="436" spans="2:4" x14ac:dyDescent="0.25">
      <c r="B436" t="str">
        <f>IF(A436="","",SUMIF('Orçamento Anual'!B:B,A436,'Orçamento Anual'!D:D))</f>
        <v/>
      </c>
      <c r="C436" t="str">
        <f>IF(A436="","",SUMIF(Realizado!D:D,A436,Realizado!E:E))</f>
        <v/>
      </c>
      <c r="D436" t="str">
        <f t="shared" si="6"/>
        <v/>
      </c>
    </row>
    <row r="437" spans="2:4" x14ac:dyDescent="0.25">
      <c r="B437" t="str">
        <f>IF(A437="","",SUMIF('Orçamento Anual'!B:B,A437,'Orçamento Anual'!D:D))</f>
        <v/>
      </c>
      <c r="C437" t="str">
        <f>IF(A437="","",SUMIF(Realizado!D:D,A437,Realizado!E:E))</f>
        <v/>
      </c>
      <c r="D437" t="str">
        <f t="shared" si="6"/>
        <v/>
      </c>
    </row>
    <row r="438" spans="2:4" x14ac:dyDescent="0.25">
      <c r="B438" t="str">
        <f>IF(A438="","",SUMIF('Orçamento Anual'!B:B,A438,'Orçamento Anual'!D:D))</f>
        <v/>
      </c>
      <c r="C438" t="str">
        <f>IF(A438="","",SUMIF(Realizado!D:D,A438,Realizado!E:E))</f>
        <v/>
      </c>
      <c r="D438" t="str">
        <f t="shared" si="6"/>
        <v/>
      </c>
    </row>
    <row r="439" spans="2:4" x14ac:dyDescent="0.25">
      <c r="B439" t="str">
        <f>IF(A439="","",SUMIF('Orçamento Anual'!B:B,A439,'Orçamento Anual'!D:D))</f>
        <v/>
      </c>
      <c r="C439" t="str">
        <f>IF(A439="","",SUMIF(Realizado!D:D,A439,Realizado!E:E))</f>
        <v/>
      </c>
      <c r="D439" t="str">
        <f t="shared" si="6"/>
        <v/>
      </c>
    </row>
    <row r="440" spans="2:4" x14ac:dyDescent="0.25">
      <c r="B440" t="str">
        <f>IF(A440="","",SUMIF('Orçamento Anual'!B:B,A440,'Orçamento Anual'!D:D))</f>
        <v/>
      </c>
      <c r="C440" t="str">
        <f>IF(A440="","",SUMIF(Realizado!D:D,A440,Realizado!E:E))</f>
        <v/>
      </c>
      <c r="D440" t="str">
        <f t="shared" si="6"/>
        <v/>
      </c>
    </row>
    <row r="441" spans="2:4" x14ac:dyDescent="0.25">
      <c r="B441" t="str">
        <f>IF(A441="","",SUMIF('Orçamento Anual'!B:B,A441,'Orçamento Anual'!D:D))</f>
        <v/>
      </c>
      <c r="C441" t="str">
        <f>IF(A441="","",SUMIF(Realizado!D:D,A441,Realizado!E:E))</f>
        <v/>
      </c>
      <c r="D441" t="str">
        <f t="shared" si="6"/>
        <v/>
      </c>
    </row>
    <row r="442" spans="2:4" x14ac:dyDescent="0.25">
      <c r="B442" t="str">
        <f>IF(A442="","",SUMIF('Orçamento Anual'!B:B,A442,'Orçamento Anual'!D:D))</f>
        <v/>
      </c>
      <c r="C442" t="str">
        <f>IF(A442="","",SUMIF(Realizado!D:D,A442,Realizado!E:E))</f>
        <v/>
      </c>
      <c r="D442" t="str">
        <f t="shared" si="6"/>
        <v/>
      </c>
    </row>
    <row r="443" spans="2:4" x14ac:dyDescent="0.25">
      <c r="B443" t="str">
        <f>IF(A443="","",SUMIF('Orçamento Anual'!B:B,A443,'Orçamento Anual'!D:D))</f>
        <v/>
      </c>
      <c r="C443" t="str">
        <f>IF(A443="","",SUMIF(Realizado!D:D,A443,Realizado!E:E))</f>
        <v/>
      </c>
      <c r="D443" t="str">
        <f t="shared" si="6"/>
        <v/>
      </c>
    </row>
    <row r="444" spans="2:4" x14ac:dyDescent="0.25">
      <c r="B444" t="str">
        <f>IF(A444="","",SUMIF('Orçamento Anual'!B:B,A444,'Orçamento Anual'!D:D))</f>
        <v/>
      </c>
      <c r="C444" t="str">
        <f>IF(A444="","",SUMIF(Realizado!D:D,A444,Realizado!E:E))</f>
        <v/>
      </c>
      <c r="D444" t="str">
        <f t="shared" si="6"/>
        <v/>
      </c>
    </row>
    <row r="445" spans="2:4" x14ac:dyDescent="0.25">
      <c r="B445" t="str">
        <f>IF(A445="","",SUMIF('Orçamento Anual'!B:B,A445,'Orçamento Anual'!D:D))</f>
        <v/>
      </c>
      <c r="C445" t="str">
        <f>IF(A445="","",SUMIF(Realizado!D:D,A445,Realizado!E:E))</f>
        <v/>
      </c>
      <c r="D445" t="str">
        <f t="shared" si="6"/>
        <v/>
      </c>
    </row>
    <row r="446" spans="2:4" x14ac:dyDescent="0.25">
      <c r="B446" t="str">
        <f>IF(A446="","",SUMIF('Orçamento Anual'!B:B,A446,'Orçamento Anual'!D:D))</f>
        <v/>
      </c>
      <c r="C446" t="str">
        <f>IF(A446="","",SUMIF(Realizado!D:D,A446,Realizado!E:E))</f>
        <v/>
      </c>
      <c r="D446" t="str">
        <f t="shared" si="6"/>
        <v/>
      </c>
    </row>
    <row r="447" spans="2:4" x14ac:dyDescent="0.25">
      <c r="B447" t="str">
        <f>IF(A447="","",SUMIF('Orçamento Anual'!B:B,A447,'Orçamento Anual'!D:D))</f>
        <v/>
      </c>
      <c r="C447" t="str">
        <f>IF(A447="","",SUMIF(Realizado!D:D,A447,Realizado!E:E))</f>
        <v/>
      </c>
      <c r="D447" t="str">
        <f t="shared" si="6"/>
        <v/>
      </c>
    </row>
    <row r="448" spans="2:4" x14ac:dyDescent="0.25">
      <c r="B448" t="str">
        <f>IF(A448="","",SUMIF('Orçamento Anual'!B:B,A448,'Orçamento Anual'!D:D))</f>
        <v/>
      </c>
      <c r="C448" t="str">
        <f>IF(A448="","",SUMIF(Realizado!D:D,A448,Realizado!E:E))</f>
        <v/>
      </c>
      <c r="D448" t="str">
        <f t="shared" si="6"/>
        <v/>
      </c>
    </row>
    <row r="449" spans="2:4" x14ac:dyDescent="0.25">
      <c r="B449" t="str">
        <f>IF(A449="","",SUMIF('Orçamento Anual'!B:B,A449,'Orçamento Anual'!D:D))</f>
        <v/>
      </c>
      <c r="C449" t="str">
        <f>IF(A449="","",SUMIF(Realizado!D:D,A449,Realizado!E:E))</f>
        <v/>
      </c>
      <c r="D449" t="str">
        <f t="shared" si="6"/>
        <v/>
      </c>
    </row>
    <row r="450" spans="2:4" x14ac:dyDescent="0.25">
      <c r="B450" t="str">
        <f>IF(A450="","",SUMIF('Orçamento Anual'!B:B,A450,'Orçamento Anual'!D:D))</f>
        <v/>
      </c>
      <c r="C450" t="str">
        <f>IF(A450="","",SUMIF(Realizado!D:D,A450,Realizado!E:E))</f>
        <v/>
      </c>
      <c r="D450" t="str">
        <f t="shared" ref="D450:D501" si="7">IF(A450="","",C450-B450)</f>
        <v/>
      </c>
    </row>
    <row r="451" spans="2:4" x14ac:dyDescent="0.25">
      <c r="B451" t="str">
        <f>IF(A451="","",SUMIF('Orçamento Anual'!B:B,A451,'Orçamento Anual'!D:D))</f>
        <v/>
      </c>
      <c r="C451" t="str">
        <f>IF(A451="","",SUMIF(Realizado!D:D,A451,Realizado!E:E))</f>
        <v/>
      </c>
      <c r="D451" t="str">
        <f t="shared" si="7"/>
        <v/>
      </c>
    </row>
    <row r="452" spans="2:4" x14ac:dyDescent="0.25">
      <c r="B452" t="str">
        <f>IF(A452="","",SUMIF('Orçamento Anual'!B:B,A452,'Orçamento Anual'!D:D))</f>
        <v/>
      </c>
      <c r="C452" t="str">
        <f>IF(A452="","",SUMIF(Realizado!D:D,A452,Realizado!E:E))</f>
        <v/>
      </c>
      <c r="D452" t="str">
        <f t="shared" si="7"/>
        <v/>
      </c>
    </row>
    <row r="453" spans="2:4" x14ac:dyDescent="0.25">
      <c r="B453" t="str">
        <f>IF(A453="","",SUMIF('Orçamento Anual'!B:B,A453,'Orçamento Anual'!D:D))</f>
        <v/>
      </c>
      <c r="C453" t="str">
        <f>IF(A453="","",SUMIF(Realizado!D:D,A453,Realizado!E:E))</f>
        <v/>
      </c>
      <c r="D453" t="str">
        <f t="shared" si="7"/>
        <v/>
      </c>
    </row>
    <row r="454" spans="2:4" x14ac:dyDescent="0.25">
      <c r="B454" t="str">
        <f>IF(A454="","",SUMIF('Orçamento Anual'!B:B,A454,'Orçamento Anual'!D:D))</f>
        <v/>
      </c>
      <c r="C454" t="str">
        <f>IF(A454="","",SUMIF(Realizado!D:D,A454,Realizado!E:E))</f>
        <v/>
      </c>
      <c r="D454" t="str">
        <f t="shared" si="7"/>
        <v/>
      </c>
    </row>
    <row r="455" spans="2:4" x14ac:dyDescent="0.25">
      <c r="B455" t="str">
        <f>IF(A455="","",SUMIF('Orçamento Anual'!B:B,A455,'Orçamento Anual'!D:D))</f>
        <v/>
      </c>
      <c r="C455" t="str">
        <f>IF(A455="","",SUMIF(Realizado!D:D,A455,Realizado!E:E))</f>
        <v/>
      </c>
      <c r="D455" t="str">
        <f t="shared" si="7"/>
        <v/>
      </c>
    </row>
    <row r="456" spans="2:4" x14ac:dyDescent="0.25">
      <c r="B456" t="str">
        <f>IF(A456="","",SUMIF('Orçamento Anual'!B:B,A456,'Orçamento Anual'!D:D))</f>
        <v/>
      </c>
      <c r="C456" t="str">
        <f>IF(A456="","",SUMIF(Realizado!D:D,A456,Realizado!E:E))</f>
        <v/>
      </c>
      <c r="D456" t="str">
        <f t="shared" si="7"/>
        <v/>
      </c>
    </row>
    <row r="457" spans="2:4" x14ac:dyDescent="0.25">
      <c r="B457" t="str">
        <f>IF(A457="","",SUMIF('Orçamento Anual'!B:B,A457,'Orçamento Anual'!D:D))</f>
        <v/>
      </c>
      <c r="C457" t="str">
        <f>IF(A457="","",SUMIF(Realizado!D:D,A457,Realizado!E:E))</f>
        <v/>
      </c>
      <c r="D457" t="str">
        <f t="shared" si="7"/>
        <v/>
      </c>
    </row>
    <row r="458" spans="2:4" x14ac:dyDescent="0.25">
      <c r="B458" t="str">
        <f>IF(A458="","",SUMIF('Orçamento Anual'!B:B,A458,'Orçamento Anual'!D:D))</f>
        <v/>
      </c>
      <c r="C458" t="str">
        <f>IF(A458="","",SUMIF(Realizado!D:D,A458,Realizado!E:E))</f>
        <v/>
      </c>
      <c r="D458" t="str">
        <f t="shared" si="7"/>
        <v/>
      </c>
    </row>
    <row r="459" spans="2:4" x14ac:dyDescent="0.25">
      <c r="B459" t="str">
        <f>IF(A459="","",SUMIF('Orçamento Anual'!B:B,A459,'Orçamento Anual'!D:D))</f>
        <v/>
      </c>
      <c r="C459" t="str">
        <f>IF(A459="","",SUMIF(Realizado!D:D,A459,Realizado!E:E))</f>
        <v/>
      </c>
      <c r="D459" t="str">
        <f t="shared" si="7"/>
        <v/>
      </c>
    </row>
    <row r="460" spans="2:4" x14ac:dyDescent="0.25">
      <c r="B460" t="str">
        <f>IF(A460="","",SUMIF('Orçamento Anual'!B:B,A460,'Orçamento Anual'!D:D))</f>
        <v/>
      </c>
      <c r="C460" t="str">
        <f>IF(A460="","",SUMIF(Realizado!D:D,A460,Realizado!E:E))</f>
        <v/>
      </c>
      <c r="D460" t="str">
        <f t="shared" si="7"/>
        <v/>
      </c>
    </row>
    <row r="461" spans="2:4" x14ac:dyDescent="0.25">
      <c r="B461" t="str">
        <f>IF(A461="","",SUMIF('Orçamento Anual'!B:B,A461,'Orçamento Anual'!D:D))</f>
        <v/>
      </c>
      <c r="C461" t="str">
        <f>IF(A461="","",SUMIF(Realizado!D:D,A461,Realizado!E:E))</f>
        <v/>
      </c>
      <c r="D461" t="str">
        <f t="shared" si="7"/>
        <v/>
      </c>
    </row>
    <row r="462" spans="2:4" x14ac:dyDescent="0.25">
      <c r="B462" t="str">
        <f>IF(A462="","",SUMIF('Orçamento Anual'!B:B,A462,'Orçamento Anual'!D:D))</f>
        <v/>
      </c>
      <c r="C462" t="str">
        <f>IF(A462="","",SUMIF(Realizado!D:D,A462,Realizado!E:E))</f>
        <v/>
      </c>
      <c r="D462" t="str">
        <f t="shared" si="7"/>
        <v/>
      </c>
    </row>
    <row r="463" spans="2:4" x14ac:dyDescent="0.25">
      <c r="B463" t="str">
        <f>IF(A463="","",SUMIF('Orçamento Anual'!B:B,A463,'Orçamento Anual'!D:D))</f>
        <v/>
      </c>
      <c r="C463" t="str">
        <f>IF(A463="","",SUMIF(Realizado!D:D,A463,Realizado!E:E))</f>
        <v/>
      </c>
      <c r="D463" t="str">
        <f t="shared" si="7"/>
        <v/>
      </c>
    </row>
    <row r="464" spans="2:4" x14ac:dyDescent="0.25">
      <c r="B464" t="str">
        <f>IF(A464="","",SUMIF('Orçamento Anual'!B:B,A464,'Orçamento Anual'!D:D))</f>
        <v/>
      </c>
      <c r="C464" t="str">
        <f>IF(A464="","",SUMIF(Realizado!D:D,A464,Realizado!E:E))</f>
        <v/>
      </c>
      <c r="D464" t="str">
        <f t="shared" si="7"/>
        <v/>
      </c>
    </row>
    <row r="465" spans="2:4" x14ac:dyDescent="0.25">
      <c r="B465" t="str">
        <f>IF(A465="","",SUMIF('Orçamento Anual'!B:B,A465,'Orçamento Anual'!D:D))</f>
        <v/>
      </c>
      <c r="C465" t="str">
        <f>IF(A465="","",SUMIF(Realizado!D:D,A465,Realizado!E:E))</f>
        <v/>
      </c>
      <c r="D465" t="str">
        <f t="shared" si="7"/>
        <v/>
      </c>
    </row>
    <row r="466" spans="2:4" x14ac:dyDescent="0.25">
      <c r="B466" t="str">
        <f>IF(A466="","",SUMIF('Orçamento Anual'!B:B,A466,'Orçamento Anual'!D:D))</f>
        <v/>
      </c>
      <c r="C466" t="str">
        <f>IF(A466="","",SUMIF(Realizado!D:D,A466,Realizado!E:E))</f>
        <v/>
      </c>
      <c r="D466" t="str">
        <f t="shared" si="7"/>
        <v/>
      </c>
    </row>
    <row r="467" spans="2:4" x14ac:dyDescent="0.25">
      <c r="B467" t="str">
        <f>IF(A467="","",SUMIF('Orçamento Anual'!B:B,A467,'Orçamento Anual'!D:D))</f>
        <v/>
      </c>
      <c r="C467" t="str">
        <f>IF(A467="","",SUMIF(Realizado!D:D,A467,Realizado!E:E))</f>
        <v/>
      </c>
      <c r="D467" t="str">
        <f t="shared" si="7"/>
        <v/>
      </c>
    </row>
    <row r="468" spans="2:4" x14ac:dyDescent="0.25">
      <c r="B468" t="str">
        <f>IF(A468="","",SUMIF('Orçamento Anual'!B:B,A468,'Orçamento Anual'!D:D))</f>
        <v/>
      </c>
      <c r="C468" t="str">
        <f>IF(A468="","",SUMIF(Realizado!D:D,A468,Realizado!E:E))</f>
        <v/>
      </c>
      <c r="D468" t="str">
        <f t="shared" si="7"/>
        <v/>
      </c>
    </row>
    <row r="469" spans="2:4" x14ac:dyDescent="0.25">
      <c r="B469" t="str">
        <f>IF(A469="","",SUMIF('Orçamento Anual'!B:B,A469,'Orçamento Anual'!D:D))</f>
        <v/>
      </c>
      <c r="C469" t="str">
        <f>IF(A469="","",SUMIF(Realizado!D:D,A469,Realizado!E:E))</f>
        <v/>
      </c>
      <c r="D469" t="str">
        <f t="shared" si="7"/>
        <v/>
      </c>
    </row>
    <row r="470" spans="2:4" x14ac:dyDescent="0.25">
      <c r="B470" t="str">
        <f>IF(A470="","",SUMIF('Orçamento Anual'!B:B,A470,'Orçamento Anual'!D:D))</f>
        <v/>
      </c>
      <c r="C470" t="str">
        <f>IF(A470="","",SUMIF(Realizado!D:D,A470,Realizado!E:E))</f>
        <v/>
      </c>
      <c r="D470" t="str">
        <f t="shared" si="7"/>
        <v/>
      </c>
    </row>
    <row r="471" spans="2:4" x14ac:dyDescent="0.25">
      <c r="B471" t="str">
        <f>IF(A471="","",SUMIF('Orçamento Anual'!B:B,A471,'Orçamento Anual'!D:D))</f>
        <v/>
      </c>
      <c r="C471" t="str">
        <f>IF(A471="","",SUMIF(Realizado!D:D,A471,Realizado!E:E))</f>
        <v/>
      </c>
      <c r="D471" t="str">
        <f t="shared" si="7"/>
        <v/>
      </c>
    </row>
    <row r="472" spans="2:4" x14ac:dyDescent="0.25">
      <c r="B472" t="str">
        <f>IF(A472="","",SUMIF('Orçamento Anual'!B:B,A472,'Orçamento Anual'!D:D))</f>
        <v/>
      </c>
      <c r="C472" t="str">
        <f>IF(A472="","",SUMIF(Realizado!D:D,A472,Realizado!E:E))</f>
        <v/>
      </c>
      <c r="D472" t="str">
        <f t="shared" si="7"/>
        <v/>
      </c>
    </row>
    <row r="473" spans="2:4" x14ac:dyDescent="0.25">
      <c r="B473" t="str">
        <f>IF(A473="","",SUMIF('Orçamento Anual'!B:B,A473,'Orçamento Anual'!D:D))</f>
        <v/>
      </c>
      <c r="C473" t="str">
        <f>IF(A473="","",SUMIF(Realizado!D:D,A473,Realizado!E:E))</f>
        <v/>
      </c>
      <c r="D473" t="str">
        <f t="shared" si="7"/>
        <v/>
      </c>
    </row>
    <row r="474" spans="2:4" x14ac:dyDescent="0.25">
      <c r="B474" t="str">
        <f>IF(A474="","",SUMIF('Orçamento Anual'!B:B,A474,'Orçamento Anual'!D:D))</f>
        <v/>
      </c>
      <c r="C474" t="str">
        <f>IF(A474="","",SUMIF(Realizado!D:D,A474,Realizado!E:E))</f>
        <v/>
      </c>
      <c r="D474" t="str">
        <f t="shared" si="7"/>
        <v/>
      </c>
    </row>
    <row r="475" spans="2:4" x14ac:dyDescent="0.25">
      <c r="B475" t="str">
        <f>IF(A475="","",SUMIF('Orçamento Anual'!B:B,A475,'Orçamento Anual'!D:D))</f>
        <v/>
      </c>
      <c r="C475" t="str">
        <f>IF(A475="","",SUMIF(Realizado!D:D,A475,Realizado!E:E))</f>
        <v/>
      </c>
      <c r="D475" t="str">
        <f t="shared" si="7"/>
        <v/>
      </c>
    </row>
    <row r="476" spans="2:4" x14ac:dyDescent="0.25">
      <c r="B476" t="str">
        <f>IF(A476="","",SUMIF('Orçamento Anual'!B:B,A476,'Orçamento Anual'!D:D))</f>
        <v/>
      </c>
      <c r="C476" t="str">
        <f>IF(A476="","",SUMIF(Realizado!D:D,A476,Realizado!E:E))</f>
        <v/>
      </c>
      <c r="D476" t="str">
        <f t="shared" si="7"/>
        <v/>
      </c>
    </row>
    <row r="477" spans="2:4" x14ac:dyDescent="0.25">
      <c r="B477" t="str">
        <f>IF(A477="","",SUMIF('Orçamento Anual'!B:B,A477,'Orçamento Anual'!D:D))</f>
        <v/>
      </c>
      <c r="C477" t="str">
        <f>IF(A477="","",SUMIF(Realizado!D:D,A477,Realizado!E:E))</f>
        <v/>
      </c>
      <c r="D477" t="str">
        <f t="shared" si="7"/>
        <v/>
      </c>
    </row>
    <row r="478" spans="2:4" x14ac:dyDescent="0.25">
      <c r="B478" t="str">
        <f>IF(A478="","",SUMIF('Orçamento Anual'!B:B,A478,'Orçamento Anual'!D:D))</f>
        <v/>
      </c>
      <c r="C478" t="str">
        <f>IF(A478="","",SUMIF(Realizado!D:D,A478,Realizado!E:E))</f>
        <v/>
      </c>
      <c r="D478" t="str">
        <f t="shared" si="7"/>
        <v/>
      </c>
    </row>
    <row r="479" spans="2:4" x14ac:dyDescent="0.25">
      <c r="B479" t="str">
        <f>IF(A479="","",SUMIF('Orçamento Anual'!B:B,A479,'Orçamento Anual'!D:D))</f>
        <v/>
      </c>
      <c r="C479" t="str">
        <f>IF(A479="","",SUMIF(Realizado!D:D,A479,Realizado!E:E))</f>
        <v/>
      </c>
      <c r="D479" t="str">
        <f t="shared" si="7"/>
        <v/>
      </c>
    </row>
    <row r="480" spans="2:4" x14ac:dyDescent="0.25">
      <c r="B480" t="str">
        <f>IF(A480="","",SUMIF('Orçamento Anual'!B:B,A480,'Orçamento Anual'!D:D))</f>
        <v/>
      </c>
      <c r="C480" t="str">
        <f>IF(A480="","",SUMIF(Realizado!D:D,A480,Realizado!E:E))</f>
        <v/>
      </c>
      <c r="D480" t="str">
        <f t="shared" si="7"/>
        <v/>
      </c>
    </row>
    <row r="481" spans="2:4" x14ac:dyDescent="0.25">
      <c r="B481" t="str">
        <f>IF(A481="","",SUMIF('Orçamento Anual'!B:B,A481,'Orçamento Anual'!D:D))</f>
        <v/>
      </c>
      <c r="C481" t="str">
        <f>IF(A481="","",SUMIF(Realizado!D:D,A481,Realizado!E:E))</f>
        <v/>
      </c>
      <c r="D481" t="str">
        <f t="shared" si="7"/>
        <v/>
      </c>
    </row>
    <row r="482" spans="2:4" x14ac:dyDescent="0.25">
      <c r="B482" t="str">
        <f>IF(A482="","",SUMIF('Orçamento Anual'!B:B,A482,'Orçamento Anual'!D:D))</f>
        <v/>
      </c>
      <c r="C482" t="str">
        <f>IF(A482="","",SUMIF(Realizado!D:D,A482,Realizado!E:E))</f>
        <v/>
      </c>
      <c r="D482" t="str">
        <f t="shared" si="7"/>
        <v/>
      </c>
    </row>
    <row r="483" spans="2:4" x14ac:dyDescent="0.25">
      <c r="B483" t="str">
        <f>IF(A483="","",SUMIF('Orçamento Anual'!B:B,A483,'Orçamento Anual'!D:D))</f>
        <v/>
      </c>
      <c r="C483" t="str">
        <f>IF(A483="","",SUMIF(Realizado!D:D,A483,Realizado!E:E))</f>
        <v/>
      </c>
      <c r="D483" t="str">
        <f t="shared" si="7"/>
        <v/>
      </c>
    </row>
    <row r="484" spans="2:4" x14ac:dyDescent="0.25">
      <c r="B484" t="str">
        <f>IF(A484="","",SUMIF('Orçamento Anual'!B:B,A484,'Orçamento Anual'!D:D))</f>
        <v/>
      </c>
      <c r="C484" t="str">
        <f>IF(A484="","",SUMIF(Realizado!D:D,A484,Realizado!E:E))</f>
        <v/>
      </c>
      <c r="D484" t="str">
        <f t="shared" si="7"/>
        <v/>
      </c>
    </row>
    <row r="485" spans="2:4" x14ac:dyDescent="0.25">
      <c r="B485" t="str">
        <f>IF(A485="","",SUMIF('Orçamento Anual'!B:B,A485,'Orçamento Anual'!D:D))</f>
        <v/>
      </c>
      <c r="C485" t="str">
        <f>IF(A485="","",SUMIF(Realizado!D:D,A485,Realizado!E:E))</f>
        <v/>
      </c>
      <c r="D485" t="str">
        <f t="shared" si="7"/>
        <v/>
      </c>
    </row>
    <row r="486" spans="2:4" x14ac:dyDescent="0.25">
      <c r="B486" t="str">
        <f>IF(A486="","",SUMIF('Orçamento Anual'!B:B,A486,'Orçamento Anual'!D:D))</f>
        <v/>
      </c>
      <c r="C486" t="str">
        <f>IF(A486="","",SUMIF(Realizado!D:D,A486,Realizado!E:E))</f>
        <v/>
      </c>
      <c r="D486" t="str">
        <f t="shared" si="7"/>
        <v/>
      </c>
    </row>
    <row r="487" spans="2:4" x14ac:dyDescent="0.25">
      <c r="B487" t="str">
        <f>IF(A487="","",SUMIF('Orçamento Anual'!B:B,A487,'Orçamento Anual'!D:D))</f>
        <v/>
      </c>
      <c r="C487" t="str">
        <f>IF(A487="","",SUMIF(Realizado!D:D,A487,Realizado!E:E))</f>
        <v/>
      </c>
      <c r="D487" t="str">
        <f t="shared" si="7"/>
        <v/>
      </c>
    </row>
    <row r="488" spans="2:4" x14ac:dyDescent="0.25">
      <c r="B488" t="str">
        <f>IF(A488="","",SUMIF('Orçamento Anual'!B:B,A488,'Orçamento Anual'!D:D))</f>
        <v/>
      </c>
      <c r="C488" t="str">
        <f>IF(A488="","",SUMIF(Realizado!D:D,A488,Realizado!E:E))</f>
        <v/>
      </c>
      <c r="D488" t="str">
        <f t="shared" si="7"/>
        <v/>
      </c>
    </row>
    <row r="489" spans="2:4" x14ac:dyDescent="0.25">
      <c r="B489" t="str">
        <f>IF(A489="","",SUMIF('Orçamento Anual'!B:B,A489,'Orçamento Anual'!D:D))</f>
        <v/>
      </c>
      <c r="C489" t="str">
        <f>IF(A489="","",SUMIF(Realizado!D:D,A489,Realizado!E:E))</f>
        <v/>
      </c>
      <c r="D489" t="str">
        <f t="shared" si="7"/>
        <v/>
      </c>
    </row>
    <row r="490" spans="2:4" x14ac:dyDescent="0.25">
      <c r="B490" t="str">
        <f>IF(A490="","",SUMIF('Orçamento Anual'!B:B,A490,'Orçamento Anual'!D:D))</f>
        <v/>
      </c>
      <c r="C490" t="str">
        <f>IF(A490="","",SUMIF(Realizado!D:D,A490,Realizado!E:E))</f>
        <v/>
      </c>
      <c r="D490" t="str">
        <f t="shared" si="7"/>
        <v/>
      </c>
    </row>
    <row r="491" spans="2:4" x14ac:dyDescent="0.25">
      <c r="B491" t="str">
        <f>IF(A491="","",SUMIF('Orçamento Anual'!B:B,A491,'Orçamento Anual'!D:D))</f>
        <v/>
      </c>
      <c r="C491" t="str">
        <f>IF(A491="","",SUMIF(Realizado!D:D,A491,Realizado!E:E))</f>
        <v/>
      </c>
      <c r="D491" t="str">
        <f t="shared" si="7"/>
        <v/>
      </c>
    </row>
    <row r="492" spans="2:4" x14ac:dyDescent="0.25">
      <c r="B492" t="str">
        <f>IF(A492="","",SUMIF('Orçamento Anual'!B:B,A492,'Orçamento Anual'!D:D))</f>
        <v/>
      </c>
      <c r="C492" t="str">
        <f>IF(A492="","",SUMIF(Realizado!D:D,A492,Realizado!E:E))</f>
        <v/>
      </c>
      <c r="D492" t="str">
        <f t="shared" si="7"/>
        <v/>
      </c>
    </row>
    <row r="493" spans="2:4" x14ac:dyDescent="0.25">
      <c r="B493" t="str">
        <f>IF(A493="","",SUMIF('Orçamento Anual'!B:B,A493,'Orçamento Anual'!D:D))</f>
        <v/>
      </c>
      <c r="C493" t="str">
        <f>IF(A493="","",SUMIF(Realizado!D:D,A493,Realizado!E:E))</f>
        <v/>
      </c>
      <c r="D493" t="str">
        <f t="shared" si="7"/>
        <v/>
      </c>
    </row>
    <row r="494" spans="2:4" x14ac:dyDescent="0.25">
      <c r="B494" t="str">
        <f>IF(A494="","",SUMIF('Orçamento Anual'!B:B,A494,'Orçamento Anual'!D:D))</f>
        <v/>
      </c>
      <c r="C494" t="str">
        <f>IF(A494="","",SUMIF(Realizado!D:D,A494,Realizado!E:E))</f>
        <v/>
      </c>
      <c r="D494" t="str">
        <f t="shared" si="7"/>
        <v/>
      </c>
    </row>
    <row r="495" spans="2:4" x14ac:dyDescent="0.25">
      <c r="B495" t="str">
        <f>IF(A495="","",SUMIF('Orçamento Anual'!B:B,A495,'Orçamento Anual'!D:D))</f>
        <v/>
      </c>
      <c r="C495" t="str">
        <f>IF(A495="","",SUMIF(Realizado!D:D,A495,Realizado!E:E))</f>
        <v/>
      </c>
      <c r="D495" t="str">
        <f t="shared" si="7"/>
        <v/>
      </c>
    </row>
    <row r="496" spans="2:4" x14ac:dyDescent="0.25">
      <c r="B496" t="str">
        <f>IF(A496="","",SUMIF('Orçamento Anual'!B:B,A496,'Orçamento Anual'!D:D))</f>
        <v/>
      </c>
      <c r="C496" t="str">
        <f>IF(A496="","",SUMIF(Realizado!D:D,A496,Realizado!E:E))</f>
        <v/>
      </c>
      <c r="D496" t="str">
        <f t="shared" si="7"/>
        <v/>
      </c>
    </row>
    <row r="497" spans="2:4" x14ac:dyDescent="0.25">
      <c r="B497" t="str">
        <f>IF(A497="","",SUMIF('Orçamento Anual'!B:B,A497,'Orçamento Anual'!D:D))</f>
        <v/>
      </c>
      <c r="C497" t="str">
        <f>IF(A497="","",SUMIF(Realizado!D:D,A497,Realizado!E:E))</f>
        <v/>
      </c>
      <c r="D497" t="str">
        <f t="shared" si="7"/>
        <v/>
      </c>
    </row>
    <row r="498" spans="2:4" x14ac:dyDescent="0.25">
      <c r="B498" t="str">
        <f>IF(A498="","",SUMIF('Orçamento Anual'!B:B,A498,'Orçamento Anual'!D:D))</f>
        <v/>
      </c>
      <c r="C498" t="str">
        <f>IF(A498="","",SUMIF(Realizado!D:D,A498,Realizado!E:E))</f>
        <v/>
      </c>
      <c r="D498" t="str">
        <f t="shared" si="7"/>
        <v/>
      </c>
    </row>
    <row r="499" spans="2:4" x14ac:dyDescent="0.25">
      <c r="B499" t="str">
        <f>IF(A499="","",SUMIF('Orçamento Anual'!B:B,A499,'Orçamento Anual'!D:D))</f>
        <v/>
      </c>
      <c r="C499" t="str">
        <f>IF(A499="","",SUMIF(Realizado!D:D,A499,Realizado!E:E))</f>
        <v/>
      </c>
      <c r="D499" t="str">
        <f t="shared" si="7"/>
        <v/>
      </c>
    </row>
    <row r="500" spans="2:4" x14ac:dyDescent="0.25">
      <c r="B500" t="str">
        <f>IF(A500="","",SUMIF('Orçamento Anual'!B:B,A500,'Orçamento Anual'!D:D))</f>
        <v/>
      </c>
      <c r="C500" t="str">
        <f>IF(A500="","",SUMIF(Realizado!D:D,A500,Realizado!E:E))</f>
        <v/>
      </c>
      <c r="D500" t="str">
        <f t="shared" si="7"/>
        <v/>
      </c>
    </row>
    <row r="501" spans="2:4" x14ac:dyDescent="0.25">
      <c r="B501" t="str">
        <f>IF(A501="","",SUMIF('Orçamento Anual'!B:B,A501,'Orçamento Anual'!D:D))</f>
        <v/>
      </c>
      <c r="C501" t="str">
        <f>IF(A501="","",SUMIF(Realizado!D:D,A501,Realizado!E:E))</f>
        <v/>
      </c>
      <c r="D501" t="str">
        <f t="shared" si="7"/>
        <v/>
      </c>
    </row>
  </sheetData>
  <mergeCells count="8">
    <mergeCell ref="H20:I20"/>
    <mergeCell ref="N20:O20"/>
    <mergeCell ref="G8:J8"/>
    <mergeCell ref="G18:J18"/>
    <mergeCell ref="M8:P8"/>
    <mergeCell ref="M18:P18"/>
    <mergeCell ref="H10:I10"/>
    <mergeCell ref="N10:O1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614D-56D3-48A3-B6CD-1F7003B92F78}">
  <dimension ref="A1:C10"/>
  <sheetViews>
    <sheetView workbookViewId="0">
      <selection activeCell="L24" sqref="L24"/>
    </sheetView>
  </sheetViews>
  <sheetFormatPr defaultRowHeight="15" x14ac:dyDescent="0.25"/>
  <cols>
    <col min="1" max="1" width="15" bestFit="1" customWidth="1"/>
    <col min="3" max="3" width="16.140625" bestFit="1" customWidth="1"/>
  </cols>
  <sheetData>
    <row r="1" spans="1:3" x14ac:dyDescent="0.25">
      <c r="A1" t="s">
        <v>4</v>
      </c>
      <c r="C1" t="s">
        <v>10</v>
      </c>
    </row>
    <row r="2" spans="1:3" x14ac:dyDescent="0.25">
      <c r="A2" t="s">
        <v>5</v>
      </c>
      <c r="C2" t="s">
        <v>11</v>
      </c>
    </row>
    <row r="3" spans="1:3" x14ac:dyDescent="0.25">
      <c r="A3" t="s">
        <v>6</v>
      </c>
      <c r="C3" t="s">
        <v>12</v>
      </c>
    </row>
    <row r="4" spans="1:3" x14ac:dyDescent="0.25">
      <c r="A4" t="s">
        <v>7</v>
      </c>
      <c r="C4" t="s">
        <v>13</v>
      </c>
    </row>
    <row r="5" spans="1:3" x14ac:dyDescent="0.25">
      <c r="A5" t="s">
        <v>8</v>
      </c>
      <c r="C5" t="s">
        <v>14</v>
      </c>
    </row>
    <row r="6" spans="1:3" x14ac:dyDescent="0.25">
      <c r="A6" t="s">
        <v>9</v>
      </c>
      <c r="C6" t="s">
        <v>15</v>
      </c>
    </row>
    <row r="7" spans="1:3" x14ac:dyDescent="0.25">
      <c r="A7" t="s">
        <v>34</v>
      </c>
      <c r="C7" t="s">
        <v>16</v>
      </c>
    </row>
    <row r="8" spans="1:3" x14ac:dyDescent="0.25">
      <c r="C8" t="s">
        <v>17</v>
      </c>
    </row>
    <row r="9" spans="1:3" x14ac:dyDescent="0.25">
      <c r="C9" t="s">
        <v>18</v>
      </c>
    </row>
    <row r="10" spans="1:3" x14ac:dyDescent="0.25">
      <c r="C10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Capa</vt:lpstr>
      <vt:lpstr>Dashboard</vt:lpstr>
      <vt:lpstr>Orçamento Anual</vt:lpstr>
      <vt:lpstr>Realizado</vt:lpstr>
      <vt:lpstr>Comparativo</vt:lpstr>
      <vt:lpstr>Configurações</vt:lpstr>
      <vt:lpstr>Despesa</vt:lpstr>
      <vt:lpstr>Receita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Tayssa Elisa</dc:creator>
  <cp:lastModifiedBy>Tayssa Elisa</cp:lastModifiedBy>
  <dcterms:created xsi:type="dcterms:W3CDTF">2026-06-22T16:17:43Z</dcterms:created>
  <dcterms:modified xsi:type="dcterms:W3CDTF">2026-06-25T23:56:44Z</dcterms:modified>
</cp:coreProperties>
</file>