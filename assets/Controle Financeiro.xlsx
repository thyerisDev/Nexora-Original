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ch\Downloads\"/>
    </mc:Choice>
  </mc:AlternateContent>
  <xr:revisionPtr revIDLastSave="0" documentId="8_{0596B606-B956-40A2-BE71-A327CB9E7DA0}" xr6:coauthVersionLast="47" xr6:coauthVersionMax="47" xr10:uidLastSave="{00000000-0000-0000-0000-000000000000}"/>
  <bookViews>
    <workbookView xWindow="-120" yWindow="-120" windowWidth="29040" windowHeight="15720" activeTab="3" xr2:uid="{D33D148F-FD04-46AA-9525-4FB25B984C69}"/>
  </bookViews>
  <sheets>
    <sheet name="Capa" sheetId="1" r:id="rId1"/>
    <sheet name="Dashboard" sheetId="2" r:id="rId2"/>
    <sheet name="Lançamentos" sheetId="3" r:id="rId3"/>
    <sheet name="Orçamento Mensal" sheetId="4" r:id="rId4"/>
    <sheet name="Categoria" sheetId="5" state="hidden" r:id="rId5"/>
  </sheets>
  <definedNames>
    <definedName name="Despesa">Categoria!$D$2:$D$11</definedName>
    <definedName name="Receita">Categoria!$C$2:$C$6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2" l="1"/>
  <c r="AE2" i="2"/>
  <c r="AB6" i="2"/>
  <c r="AB7" i="2"/>
  <c r="AB8" i="2"/>
  <c r="AB9" i="2"/>
  <c r="AB10" i="2"/>
  <c r="AB11" i="2"/>
  <c r="AB5" i="2"/>
  <c r="AB4" i="2"/>
  <c r="AB3" i="2"/>
  <c r="AB2" i="2"/>
  <c r="L7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C6" i="4"/>
  <c r="C7" i="4"/>
  <c r="C8" i="4"/>
  <c r="C9" i="4"/>
  <c r="C10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O16" i="3"/>
  <c r="H3" i="2"/>
  <c r="O9" i="3"/>
  <c r="O24" i="3"/>
  <c r="C3" i="2"/>
  <c r="E15" i="4"/>
  <c r="D15" i="4"/>
  <c r="E14" i="4"/>
  <c r="D14" i="4"/>
  <c r="L13" i="4"/>
  <c r="L25" i="4"/>
  <c r="L19" i="4"/>
  <c r="M3" i="2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R3" i="2"/>
</calcChain>
</file>

<file path=xl/sharedStrings.xml><?xml version="1.0" encoding="utf-8"?>
<sst xmlns="http://schemas.openxmlformats.org/spreadsheetml/2006/main" count="85" uniqueCount="47">
  <si>
    <t>NEXORA</t>
  </si>
  <si>
    <t xml:space="preserve">Consultoria Financeira </t>
  </si>
  <si>
    <t>CONTROLE FINANCEIRO PESSOAL</t>
  </si>
  <si>
    <t>Controle suas receitas, despesas e alcance seus objetivos financeiros com clareza</t>
  </si>
  <si>
    <t>Controle de Receitas e Despesas</t>
  </si>
  <si>
    <t>Data</t>
  </si>
  <si>
    <t>Tipo</t>
  </si>
  <si>
    <t>Categoria</t>
  </si>
  <si>
    <t>Descrição</t>
  </si>
  <si>
    <t>Valor</t>
  </si>
  <si>
    <t>Forma de Pagamento</t>
  </si>
  <si>
    <t>Receita</t>
  </si>
  <si>
    <t>Despesa</t>
  </si>
  <si>
    <t>Salário</t>
  </si>
  <si>
    <t>Freelance</t>
  </si>
  <si>
    <t>Investimentos</t>
  </si>
  <si>
    <t>Comissões</t>
  </si>
  <si>
    <t>Outros</t>
  </si>
  <si>
    <t>Moradia</t>
  </si>
  <si>
    <t>Alimentação</t>
  </si>
  <si>
    <t>Transporte</t>
  </si>
  <si>
    <t>Saúde</t>
  </si>
  <si>
    <t>Educação</t>
  </si>
  <si>
    <t>Lazer</t>
  </si>
  <si>
    <t>Assinaturas</t>
  </si>
  <si>
    <t>PIX</t>
  </si>
  <si>
    <t>Dinheiro</t>
  </si>
  <si>
    <t>Débito</t>
  </si>
  <si>
    <t>Crédito</t>
  </si>
  <si>
    <t>Transferência</t>
  </si>
  <si>
    <t>Status</t>
  </si>
  <si>
    <t>Pago</t>
  </si>
  <si>
    <t>Pendente</t>
  </si>
  <si>
    <t>Receitas Totais</t>
  </si>
  <si>
    <t>Despesas Totais</t>
  </si>
  <si>
    <t>Saldo Atual</t>
  </si>
  <si>
    <t>"Planeje seus gastos e acompanhe seu desempenho financeiro."</t>
  </si>
  <si>
    <t>Orçamento</t>
  </si>
  <si>
    <t>Gasto Real</t>
  </si>
  <si>
    <t>Diferença</t>
  </si>
  <si>
    <t>Orçamento Total</t>
  </si>
  <si>
    <t>Gasto Total</t>
  </si>
  <si>
    <t>Saldo do Orçamento</t>
  </si>
  <si>
    <t>Orçamento Utilizado</t>
  </si>
  <si>
    <t>Orçamento Restante</t>
  </si>
  <si>
    <t>Categorias Acima do orçamento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</si>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</sst>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[$-F800]dddd\,\ mmmm\ dd\,\ yyyy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Georgia"/>
      <family val="1"/>
    </font>
    <font>
      <sz val="28"/>
      <color theme="0"/>
      <name val="Georgia"/>
      <family val="1"/>
    </font>
    <font>
      <sz val="12"/>
      <color theme="0"/>
      <name val="Georgia"/>
      <family val="1"/>
    </font>
    <font>
      <b/>
      <sz val="26"/>
      <color rgb="FF54080D"/>
      <name val="Georgia"/>
      <family val="1"/>
    </font>
    <font>
      <sz val="16"/>
      <color theme="1"/>
      <name val="Georgia"/>
      <family val="1"/>
    </font>
    <font>
      <sz val="11"/>
      <color theme="0"/>
      <name val="Aptos Narrow"/>
      <family val="2"/>
      <scheme val="minor"/>
    </font>
    <font>
      <sz val="10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010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080D"/>
        <bgColor indexed="64"/>
      </patternFill>
    </fill>
    <fill>
      <patternFill patternType="solid">
        <fgColor rgb="FFFC5B4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0" fontId="0" fillId="4" borderId="0" xfId="0" applyFill="1" applyAlignment="1">
      <alignment horizontal="center"/>
    </xf>
    <xf numFmtId="0" fontId="0" fillId="4" borderId="0" xfId="0" applyFill="1"/>
    <xf numFmtId="165" fontId="0" fillId="0" borderId="0" xfId="0" applyNumberFormat="1"/>
    <xf numFmtId="0" fontId="0" fillId="5" borderId="1" xfId="0" applyFill="1" applyBorder="1"/>
    <xf numFmtId="164" fontId="0" fillId="5" borderId="1" xfId="0" applyNumberFormat="1" applyFill="1" applyBorder="1" applyAlignment="1">
      <alignment horizontal="center" vertical="center"/>
    </xf>
    <xf numFmtId="0" fontId="7" fillId="4" borderId="0" xfId="0" applyFont="1" applyFill="1"/>
    <xf numFmtId="164" fontId="0" fillId="5" borderId="1" xfId="0" applyNumberFormat="1" applyFill="1" applyBorder="1"/>
    <xf numFmtId="10" fontId="0" fillId="5" borderId="1" xfId="0" applyNumberForma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numFmt numFmtId="164" formatCode="_-&quot;R$&quot;* #,##0.00_-;\-&quot;R$&quot;* #,##0.00_-;_-&quot;R$&quot;* &quot;-&quot;??_-;_-@_-"/>
    </dxf>
    <dxf>
      <numFmt numFmtId="165" formatCode="[$-F800]dddd\,\ mmmm\ dd\,\ yyyy"/>
    </dxf>
    <dxf>
      <fill>
        <patternFill patternType="solid">
          <fgColor indexed="64"/>
          <bgColor rgb="FF54080D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54080D"/>
        </patternFill>
      </fill>
    </dxf>
  </dxfs>
  <tableStyles count="0" defaultTableStyle="TableStyleMedium2" defaultPivotStyle="PivotStyleLight16"/>
  <colors>
    <mruColors>
      <color rgb="FF080808"/>
      <color rgb="FF54080D"/>
      <color rgb="FFFF5050"/>
      <color rgb="FF1F0102"/>
      <color rgb="FFFC5B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  <a:latin typeface="Georgia" panose="02040502050405020303" pitchFamily="18" charset="0"/>
              </a:rPr>
              <a:t>Despesas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20-43E3-81F5-DBFB887874B9}"/>
              </c:ext>
            </c:extLst>
          </c:dPt>
          <c:dPt>
            <c:idx val="1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88-474C-B0EB-AE7F86C8656C}"/>
              </c:ext>
            </c:extLst>
          </c:dPt>
          <c:dPt>
            <c:idx val="2"/>
            <c:bubble3D val="0"/>
            <c:spPr>
              <a:solidFill>
                <a:srgbClr val="08080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88-474C-B0EB-AE7F86C865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20-43E3-81F5-DBFB887874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20-43E3-81F5-DBFB887874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20-43E3-81F5-DBFB887874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B20-43E3-81F5-DBFB887874B9}"/>
              </c:ext>
            </c:extLst>
          </c:dPt>
          <c:dPt>
            <c:idx val="7"/>
            <c:bubble3D val="0"/>
            <c:spPr>
              <a:solidFill>
                <a:srgbClr val="5408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B88-474C-B0EB-AE7F86C8656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B20-43E3-81F5-DBFB887874B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B20-43E3-81F5-DBFB887874B9}"/>
              </c:ext>
            </c:extLst>
          </c:dPt>
          <c:cat>
            <c:strRef>
              <c:f>Dashboard!$AA$2:$AA$11</c:f>
              <c:strCache>
                <c:ptCount val="10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Educação</c:v>
                </c:pt>
                <c:pt idx="5">
                  <c:v>Lazer</c:v>
                </c:pt>
                <c:pt idx="6">
                  <c:v>Compras</c:v>
                </c:pt>
                <c:pt idx="7">
                  <c:v>Assinaturas</c:v>
                </c:pt>
                <c:pt idx="8">
                  <c:v>Investimentos</c:v>
                </c:pt>
                <c:pt idx="9">
                  <c:v>Outros</c:v>
                </c:pt>
              </c:strCache>
            </c:strRef>
          </c:cat>
          <c:val>
            <c:numRef>
              <c:f>Dashboard!$AB$2:$AB$11</c:f>
              <c:numCache>
                <c:formatCode>General</c:formatCode>
                <c:ptCount val="10"/>
                <c:pt idx="0">
                  <c:v>0</c:v>
                </c:pt>
                <c:pt idx="1">
                  <c:v>350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8-474C-B0EB-AE7F86C86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  <a:latin typeface="Georgia" panose="02040502050405020303" pitchFamily="18" charset="0"/>
              </a:rPr>
              <a:t>Receita</a:t>
            </a:r>
            <a:r>
              <a:rPr lang="pt-BR" b="1" baseline="0">
                <a:solidFill>
                  <a:schemeClr val="tx1"/>
                </a:solidFill>
                <a:latin typeface="Georgia" panose="02040502050405020303" pitchFamily="18" charset="0"/>
              </a:rPr>
              <a:t> X Despesa</a:t>
            </a:r>
            <a:endParaRPr lang="pt-BR" b="1">
              <a:solidFill>
                <a:schemeClr val="tx1"/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1F010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EF-4BB1-9353-D940449A13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5D-483B-B6AF-5E03786BC58B}"/>
              </c:ext>
            </c:extLst>
          </c:dPt>
          <c:cat>
            <c:strRef>
              <c:f>Dashboard!$AD$2:$AD$3</c:f>
              <c:strCache>
                <c:ptCount val="2"/>
                <c:pt idx="0">
                  <c:v>Receita</c:v>
                </c:pt>
                <c:pt idx="1">
                  <c:v>Despesa</c:v>
                </c:pt>
              </c:strCache>
            </c:strRef>
          </c:cat>
          <c:val>
            <c:numRef>
              <c:f>Dashboard!$AE$2:$AE$3</c:f>
              <c:numCache>
                <c:formatCode>General</c:formatCode>
                <c:ptCount val="2"/>
                <c:pt idx="0">
                  <c:v>630</c:v>
                </c:pt>
                <c:pt idx="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F-4BB1-9353-D940449A1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Or&#231;amento Mensal'!A1"/><Relationship Id="rId2" Type="http://schemas.openxmlformats.org/officeDocument/2006/relationships/hyperlink" Target="#Lan&#231;amentos!A1"/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14</xdr:row>
      <xdr:rowOff>19050</xdr:rowOff>
    </xdr:from>
    <xdr:to>
      <xdr:col>7</xdr:col>
      <xdr:colOff>0</xdr:colOff>
      <xdr:row>16</xdr:row>
      <xdr:rowOff>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E1A52B-E8ED-2ED1-45D1-9A292AC72F38}"/>
            </a:ext>
          </a:extLst>
        </xdr:cNvPr>
        <xdr:cNvSpPr/>
      </xdr:nvSpPr>
      <xdr:spPr>
        <a:xfrm>
          <a:off x="3057525" y="2990850"/>
          <a:ext cx="1209675" cy="361950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Dashboard</a:t>
          </a: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10</xdr:col>
      <xdr:colOff>600075</xdr:colOff>
      <xdr:row>15</xdr:row>
      <xdr:rowOff>171450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EAC896-BA92-77C4-394B-67B16EA15E21}"/>
            </a:ext>
          </a:extLst>
        </xdr:cNvPr>
        <xdr:cNvSpPr/>
      </xdr:nvSpPr>
      <xdr:spPr>
        <a:xfrm>
          <a:off x="5486400" y="2971800"/>
          <a:ext cx="1209675" cy="361950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Lançamentos</a:t>
          </a:r>
        </a:p>
      </xdr:txBody>
    </xdr:sp>
    <xdr:clientData/>
  </xdr:twoCellAnchor>
  <xdr:twoCellAnchor>
    <xdr:from>
      <xdr:col>12</xdr:col>
      <xdr:colOff>600074</xdr:colOff>
      <xdr:row>14</xdr:row>
      <xdr:rowOff>0</xdr:rowOff>
    </xdr:from>
    <xdr:to>
      <xdr:col>15</xdr:col>
      <xdr:colOff>609599</xdr:colOff>
      <xdr:row>15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1CB24D-E60E-549E-3A63-1879A338465E}"/>
            </a:ext>
          </a:extLst>
        </xdr:cNvPr>
        <xdr:cNvSpPr/>
      </xdr:nvSpPr>
      <xdr:spPr>
        <a:xfrm>
          <a:off x="7915274" y="2971800"/>
          <a:ext cx="1838325" cy="371475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Orçamento mensal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6</xdr:row>
      <xdr:rowOff>176212</xdr:rowOff>
    </xdr:from>
    <xdr:to>
      <xdr:col>9</xdr:col>
      <xdr:colOff>600074</xdr:colOff>
      <xdr:row>22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E9696A-26B7-695E-574F-C3402C6DB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7</xdr:row>
      <xdr:rowOff>4761</xdr:rowOff>
    </xdr:from>
    <xdr:to>
      <xdr:col>20</xdr:col>
      <xdr:colOff>9524</xdr:colOff>
      <xdr:row>23</xdr:row>
      <xdr:rowOff>9524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EF5747-777E-A69C-B788-E10530E00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0E20B-C7B0-4469-B3C7-B9F3CBD6E871}" name="Tabela1" displayName="Tabela1" ref="A5:G506" totalsRowShown="0" headerRowDxfId="6">
  <autoFilter ref="A5:G506" xr:uid="{38B0E20B-C7B0-4469-B3C7-B9F3CBD6E871}"/>
  <tableColumns count="7">
    <tableColumn id="1" xr3:uid="{D329CA8C-751C-4B4E-942B-7CE48238527C}" name="Data" dataDxfId="5"/>
    <tableColumn id="2" xr3:uid="{9F675D80-6556-4CD7-A1BD-796E10CA99E0}" name="Tipo"/>
    <tableColumn id="3" xr3:uid="{2C56112D-04B5-4B6E-ABE0-0B50E26FEE51}" name="Categoria"/>
    <tableColumn id="4" xr3:uid="{6C565113-374C-41CE-9AB0-8E46CF64CFA5}" name="Descrição"/>
    <tableColumn id="5" xr3:uid="{B5E64362-326C-4F8F-9773-4A29971B43FC}" name="Valor" dataDxfId="4"/>
    <tableColumn id="6" xr3:uid="{20B72A0D-794C-474C-BBE0-3535A515A904}" name="Forma de Pagamento"/>
    <tableColumn id="7" xr3:uid="{0354018A-AD7B-4722-A947-B0D87DAA9FA8}" name="Status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6B6A70-B309-418A-96C0-CDC1319B93FE}" name="Tabela2" displayName="Tabela2" ref="A5:E505" totalsRowShown="0" headerRowDxfId="11">
  <autoFilter ref="A5:E505" xr:uid="{416B6A70-B309-418A-96C0-CDC1319B93FE}"/>
  <tableColumns count="5">
    <tableColumn id="1" xr3:uid="{5F87EF59-E553-4A0C-A29A-0477FA36026D}" name="Categoria"/>
    <tableColumn id="2" xr3:uid="{FCBC4B99-3A99-4DDB-9BD4-E46E0D7D6FE2}" name="Orçamento" dataDxfId="10">
      <calculatedColumnFormula>SUMIFS(Lançamentos!$E:$E,Lançamentos!$C:$C,A6,Lançamentos!$B:$B,"Despesa")</calculatedColumnFormula>
    </tableColumn>
    <tableColumn id="3" xr3:uid="{DE594FAF-C37F-47E0-809B-D09C9DD66F48}" name="Gasto Real" dataDxfId="9">
      <calculatedColumnFormula>IF(A6="","",SUMIFS(Lançamentos!$E:$E,Lançamentos!$C:$C,A6,Lançamentos!$B:$B,"Despesa"))</calculatedColumnFormula>
    </tableColumn>
    <tableColumn id="4" xr3:uid="{F3CDBC10-D230-42E7-B935-6E940EF1094A}" name="Diferença" dataDxfId="8">
      <calculatedColumnFormula>IF(A6="","",B6-C6)</calculatedColumnFormula>
    </tableColumn>
    <tableColumn id="5" xr3:uid="{72C37184-FDAE-4BD0-8D6E-A60212FE8494}" name="Status" dataDxfId="7">
      <calculatedColumnFormula>IF(A6="","",IF(C6&gt;B6,"Acima do Orçamento","Dentro do Orçamento"))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F90A-A5B7-4AB5-B33C-FDC744A70D64}">
  <dimension ref="A1:U12"/>
  <sheetViews>
    <sheetView showGridLines="0" workbookViewId="0">
      <selection activeCell="K23" sqref="K23"/>
    </sheetView>
  </sheetViews>
  <sheetFormatPr defaultRowHeight="15" x14ac:dyDescent="0.25"/>
  <sheetData>
    <row r="1" spans="1:21" x14ac:dyDescent="0.25">
      <c r="A1" s="1"/>
      <c r="B1" s="1"/>
      <c r="C1" s="1"/>
      <c r="D1" s="1"/>
      <c r="E1" s="1"/>
      <c r="F1" s="1"/>
      <c r="G1" s="1"/>
      <c r="H1" s="14" t="s">
        <v>0</v>
      </c>
      <c r="I1" s="14"/>
      <c r="J1" s="14"/>
      <c r="K1" s="14"/>
      <c r="L1" s="14"/>
      <c r="M1" s="14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4"/>
      <c r="I2" s="14"/>
      <c r="J2" s="14"/>
      <c r="K2" s="14"/>
      <c r="L2" s="14"/>
      <c r="M2" s="14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4"/>
      <c r="I3" s="14"/>
      <c r="J3" s="14"/>
      <c r="K3" s="14"/>
      <c r="L3" s="14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4"/>
      <c r="I4" s="14"/>
      <c r="J4" s="14"/>
      <c r="K4" s="14"/>
      <c r="L4" s="14"/>
      <c r="M4" s="14"/>
      <c r="N4" s="1"/>
      <c r="O4" s="1"/>
      <c r="P4" s="1"/>
      <c r="Q4" s="1"/>
      <c r="R4" s="1"/>
      <c r="S4" s="1"/>
      <c r="T4" s="1"/>
      <c r="U4" s="1"/>
    </row>
    <row r="5" spans="1:21" ht="15.75" x14ac:dyDescent="0.25">
      <c r="H5" s="15" t="s">
        <v>1</v>
      </c>
      <c r="I5" s="15"/>
      <c r="J5" s="15"/>
      <c r="K5" s="15"/>
      <c r="L5" s="15"/>
      <c r="M5" s="15"/>
    </row>
    <row r="9" spans="1:21" ht="33" x14ac:dyDescent="0.45">
      <c r="E9" s="17" t="s">
        <v>2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2" spans="1:21" ht="20.25" x14ac:dyDescent="0.3">
      <c r="E12" s="16" t="s">
        <v>3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</sheetData>
  <mergeCells count="4">
    <mergeCell ref="H1:M4"/>
    <mergeCell ref="H5:M5"/>
    <mergeCell ref="E12:Q12"/>
    <mergeCell ref="E9:P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31A7-ED54-4C13-A4E2-D713CD4AFA5D}">
  <dimension ref="B2:AE11"/>
  <sheetViews>
    <sheetView showGridLines="0" workbookViewId="0"/>
  </sheetViews>
  <sheetFormatPr defaultRowHeight="15" x14ac:dyDescent="0.25"/>
  <cols>
    <col min="27" max="27" width="13.42578125" bestFit="1" customWidth="1"/>
    <col min="30" max="30" width="9" customWidth="1"/>
  </cols>
  <sheetData>
    <row r="2" spans="2:31" x14ac:dyDescent="0.25">
      <c r="B2" s="13" t="s">
        <v>35</v>
      </c>
      <c r="C2" s="13"/>
      <c r="D2" s="13"/>
      <c r="E2" s="13"/>
      <c r="G2" s="13" t="s">
        <v>34</v>
      </c>
      <c r="H2" s="13"/>
      <c r="I2" s="13"/>
      <c r="J2" s="13"/>
      <c r="L2" s="13" t="s">
        <v>44</v>
      </c>
      <c r="M2" s="13"/>
      <c r="N2" s="13"/>
      <c r="O2" s="13"/>
      <c r="Q2" s="13" t="s">
        <v>45</v>
      </c>
      <c r="R2" s="13"/>
      <c r="S2" s="13"/>
      <c r="T2" s="13"/>
      <c r="AA2" t="s">
        <v>18</v>
      </c>
      <c r="AB2">
        <f>SUMIFS(Lançamentos!$E$6:$E$1000,Lançamentos!$C$6:$C$1000,AA2,Lançamentos!$B$6:$B$1000,"Despesa")</f>
        <v>0</v>
      </c>
      <c r="AD2" t="s">
        <v>11</v>
      </c>
      <c r="AE2">
        <f>SUMIF(Lançamentos!$B:$B,"Receita",Lançamentos!$E:$E)</f>
        <v>630</v>
      </c>
    </row>
    <row r="3" spans="2:31" x14ac:dyDescent="0.25">
      <c r="B3" s="7"/>
      <c r="C3" s="18">
        <f>Lançamentos!O24</f>
        <v>185</v>
      </c>
      <c r="D3" s="13"/>
      <c r="E3" s="7"/>
      <c r="G3" s="7"/>
      <c r="H3" s="18">
        <f>Lançamentos!O16</f>
        <v>445</v>
      </c>
      <c r="I3" s="13"/>
      <c r="J3" s="7"/>
      <c r="L3" s="7"/>
      <c r="M3" s="18">
        <f>'Orçamento Mensal'!L19</f>
        <v>285</v>
      </c>
      <c r="N3" s="13"/>
      <c r="O3" s="7"/>
      <c r="Q3" s="7"/>
      <c r="R3" s="13">
        <f>COUNTIF('Orçamento Mensal'!E:E,"Acima do Orçamento")</f>
        <v>2</v>
      </c>
      <c r="S3" s="13"/>
      <c r="T3" s="7"/>
      <c r="AA3" t="s">
        <v>19</v>
      </c>
      <c r="AB3">
        <f>SUMIFS(Lançamentos!$E$6:$E$1000,Lançamentos!$C$6:$C$1000,AA3,Lançamentos!$B$6:$B$1000,"Despesa")</f>
        <v>350</v>
      </c>
      <c r="AD3" t="s">
        <v>12</v>
      </c>
      <c r="AE3">
        <f>SUMIF(Lançamentos!$B:$B,"Despesa",Lançamentos!$E:$E)</f>
        <v>445</v>
      </c>
    </row>
    <row r="4" spans="2:31" x14ac:dyDescent="0.25">
      <c r="AA4" t="s">
        <v>20</v>
      </c>
      <c r="AB4">
        <f>SUMIFS(Lançamentos!$E$6:$E$1000,Lançamentos!$C$6:$C$1000,AA4,Lançamentos!$B$6:$B$1000,"Despesa")</f>
        <v>20</v>
      </c>
    </row>
    <row r="5" spans="2:31" x14ac:dyDescent="0.25">
      <c r="AA5" t="s">
        <v>21</v>
      </c>
      <c r="AB5">
        <f>SUMIFS(Lançamentos!$E$6:$E$1000,Lançamentos!$C$6:$C$1000,AA5,Lançamentos!$B$6:$B$1000,"Despesa")</f>
        <v>0</v>
      </c>
    </row>
    <row r="6" spans="2:31" x14ac:dyDescent="0.25">
      <c r="AA6" t="s">
        <v>22</v>
      </c>
      <c r="AB6">
        <f>SUMIFS(Lançamentos!$E$6:$E$1000,Lançamentos!$C$6:$C$1000,AA6,Lançamentos!$B$6:$B$1000,"Despesa")</f>
        <v>0</v>
      </c>
    </row>
    <row r="7" spans="2:31" x14ac:dyDescent="0.25">
      <c r="AA7" t="s">
        <v>23</v>
      </c>
      <c r="AB7">
        <f>SUMIFS(Lançamentos!$E$6:$E$1000,Lançamentos!$C$6:$C$1000,AA7,Lançamentos!$B$6:$B$1000,"Despesa")</f>
        <v>0</v>
      </c>
    </row>
    <row r="8" spans="2:31" x14ac:dyDescent="0.25">
      <c r="AA8" t="s">
        <v>46</v>
      </c>
      <c r="AB8">
        <f>SUMIFS(Lançamentos!$E$6:$E$1000,Lançamentos!$C$6:$C$1000,AA8,Lançamentos!$B$6:$B$1000,"Despesa")</f>
        <v>0</v>
      </c>
    </row>
    <row r="9" spans="2:31" x14ac:dyDescent="0.25">
      <c r="AA9" t="s">
        <v>24</v>
      </c>
      <c r="AB9">
        <f>SUMIFS(Lançamentos!$E$6:$E$1000,Lançamentos!$C$6:$C$1000,AA9,Lançamentos!$B$6:$B$1000,"Despesa")</f>
        <v>75</v>
      </c>
    </row>
    <row r="10" spans="2:31" x14ac:dyDescent="0.25">
      <c r="AA10" t="s">
        <v>15</v>
      </c>
      <c r="AB10">
        <f>SUMIFS(Lançamentos!$E$6:$E$1000,Lançamentos!$C$6:$C$1000,AA10,Lançamentos!$B$6:$B$1000,"Despesa")</f>
        <v>0</v>
      </c>
    </row>
    <row r="11" spans="2:31" x14ac:dyDescent="0.25">
      <c r="AA11" t="s">
        <v>17</v>
      </c>
      <c r="AB11">
        <f>SUMIFS(Lançamentos!$E$6:$E$1000,Lançamentos!$C$6:$C$1000,AA11,Lançamentos!$B$6:$B$1000,"Despesa")</f>
        <v>0</v>
      </c>
    </row>
  </sheetData>
  <mergeCells count="8">
    <mergeCell ref="B2:E2"/>
    <mergeCell ref="G2:J2"/>
    <mergeCell ref="L2:O2"/>
    <mergeCell ref="Q2:T2"/>
    <mergeCell ref="C3:D3"/>
    <mergeCell ref="H3:I3"/>
    <mergeCell ref="M3:N3"/>
    <mergeCell ref="R3:S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071B-FDA7-4D3F-9F78-1D9D6A111094}">
  <dimension ref="A1:P506"/>
  <sheetViews>
    <sheetView workbookViewId="0">
      <selection sqref="A1:G2"/>
    </sheetView>
  </sheetViews>
  <sheetFormatPr defaultRowHeight="15" x14ac:dyDescent="0.25"/>
  <cols>
    <col min="3" max="3" width="12.140625" bestFit="1" customWidth="1"/>
    <col min="4" max="4" width="12.140625" customWidth="1"/>
    <col min="5" max="5" width="10.140625" customWidth="1"/>
    <col min="6" max="6" width="21.85546875" customWidth="1"/>
    <col min="8" max="8" width="9.140625" customWidth="1"/>
    <col min="11" max="11" width="8.85546875" customWidth="1"/>
    <col min="15" max="15" width="10.140625" bestFit="1" customWidth="1"/>
  </cols>
  <sheetData>
    <row r="1" spans="1:16" x14ac:dyDescent="0.25">
      <c r="A1" s="19" t="s">
        <v>4</v>
      </c>
      <c r="B1" s="19"/>
      <c r="C1" s="19"/>
      <c r="D1" s="19"/>
      <c r="E1" s="19"/>
      <c r="F1" s="19"/>
      <c r="G1" s="19"/>
    </row>
    <row r="2" spans="1:16" x14ac:dyDescent="0.25">
      <c r="A2" s="19"/>
      <c r="B2" s="19"/>
      <c r="C2" s="19"/>
      <c r="D2" s="19"/>
      <c r="E2" s="19"/>
      <c r="F2" s="19"/>
      <c r="G2" s="19"/>
    </row>
    <row r="5" spans="1:16" x14ac:dyDescent="0.25">
      <c r="A5" s="4" t="s">
        <v>5</v>
      </c>
      <c r="B5" s="4" t="s">
        <v>6</v>
      </c>
      <c r="C5" s="5" t="s">
        <v>7</v>
      </c>
      <c r="D5" s="5" t="s">
        <v>8</v>
      </c>
      <c r="E5" s="4" t="s">
        <v>9</v>
      </c>
      <c r="F5" s="5" t="s">
        <v>10</v>
      </c>
      <c r="G5" s="5" t="s">
        <v>30</v>
      </c>
    </row>
    <row r="6" spans="1:16" x14ac:dyDescent="0.25">
      <c r="A6" s="6"/>
      <c r="B6" t="s">
        <v>11</v>
      </c>
      <c r="C6" t="s">
        <v>15</v>
      </c>
      <c r="E6" s="3">
        <v>500</v>
      </c>
    </row>
    <row r="7" spans="1:16" x14ac:dyDescent="0.25">
      <c r="A7" s="6"/>
      <c r="B7" t="s">
        <v>11</v>
      </c>
      <c r="C7" t="s">
        <v>14</v>
      </c>
      <c r="E7" s="3">
        <v>130</v>
      </c>
    </row>
    <row r="8" spans="1:16" x14ac:dyDescent="0.25">
      <c r="A8" s="6"/>
      <c r="B8" t="s">
        <v>12</v>
      </c>
      <c r="C8" t="s">
        <v>19</v>
      </c>
      <c r="E8" s="3">
        <v>350</v>
      </c>
      <c r="N8" s="13" t="s">
        <v>33</v>
      </c>
      <c r="O8" s="13"/>
      <c r="P8" s="13"/>
    </row>
    <row r="9" spans="1:16" x14ac:dyDescent="0.25">
      <c r="A9" s="6"/>
      <c r="B9" t="s">
        <v>12</v>
      </c>
      <c r="C9" t="s">
        <v>24</v>
      </c>
      <c r="E9" s="3">
        <v>75</v>
      </c>
      <c r="N9" s="7"/>
      <c r="O9" s="8">
        <f>SUMIF(B:B,"Receita",E:E)</f>
        <v>630</v>
      </c>
      <c r="P9" s="7"/>
    </row>
    <row r="10" spans="1:16" x14ac:dyDescent="0.25">
      <c r="A10" s="6"/>
      <c r="B10" t="s">
        <v>12</v>
      </c>
      <c r="C10" t="s">
        <v>20</v>
      </c>
      <c r="E10" s="3">
        <v>20</v>
      </c>
    </row>
    <row r="11" spans="1:16" x14ac:dyDescent="0.25">
      <c r="A11" s="6"/>
      <c r="E11" s="3"/>
    </row>
    <row r="12" spans="1:16" x14ac:dyDescent="0.25">
      <c r="A12" s="6"/>
      <c r="E12" s="3"/>
    </row>
    <row r="13" spans="1:16" x14ac:dyDescent="0.25">
      <c r="A13" s="6"/>
      <c r="E13" s="3"/>
    </row>
    <row r="14" spans="1:16" x14ac:dyDescent="0.25">
      <c r="A14" s="6"/>
      <c r="E14" s="3"/>
    </row>
    <row r="15" spans="1:16" x14ac:dyDescent="0.25">
      <c r="A15" s="6"/>
      <c r="E15" s="3"/>
      <c r="N15" s="13" t="s">
        <v>34</v>
      </c>
      <c r="O15" s="13"/>
      <c r="P15" s="13"/>
    </row>
    <row r="16" spans="1:16" x14ac:dyDescent="0.25">
      <c r="A16" s="6"/>
      <c r="E16" s="3"/>
      <c r="N16" s="7"/>
      <c r="O16" s="8">
        <f>SUMIF(B:B,"Despesa",E:E)</f>
        <v>445</v>
      </c>
      <c r="P16" s="7"/>
    </row>
    <row r="17" spans="1:16" x14ac:dyDescent="0.25">
      <c r="A17" s="6"/>
      <c r="E17" s="3"/>
    </row>
    <row r="18" spans="1:16" x14ac:dyDescent="0.25">
      <c r="A18" s="6"/>
      <c r="E18" s="3"/>
    </row>
    <row r="19" spans="1:16" x14ac:dyDescent="0.25">
      <c r="A19" s="6"/>
      <c r="E19" s="3"/>
    </row>
    <row r="20" spans="1:16" x14ac:dyDescent="0.25">
      <c r="A20" s="6"/>
      <c r="E20" s="3"/>
    </row>
    <row r="21" spans="1:16" x14ac:dyDescent="0.25">
      <c r="A21" s="6"/>
      <c r="E21" s="3"/>
    </row>
    <row r="22" spans="1:16" x14ac:dyDescent="0.25">
      <c r="A22" s="6"/>
      <c r="E22" s="3"/>
    </row>
    <row r="23" spans="1:16" x14ac:dyDescent="0.25">
      <c r="A23" s="6"/>
      <c r="E23" s="3"/>
      <c r="N23" s="13" t="s">
        <v>35</v>
      </c>
      <c r="O23" s="13"/>
      <c r="P23" s="13"/>
    </row>
    <row r="24" spans="1:16" x14ac:dyDescent="0.25">
      <c r="A24" s="6"/>
      <c r="E24" s="3"/>
      <c r="N24" s="7"/>
      <c r="O24" s="8">
        <f>O9-O16</f>
        <v>185</v>
      </c>
      <c r="P24" s="7"/>
    </row>
    <row r="25" spans="1:16" x14ac:dyDescent="0.25">
      <c r="A25" s="6"/>
      <c r="E25" s="3"/>
    </row>
    <row r="26" spans="1:16" x14ac:dyDescent="0.25">
      <c r="A26" s="6"/>
      <c r="E26" s="3"/>
    </row>
    <row r="27" spans="1:16" x14ac:dyDescent="0.25">
      <c r="A27" s="6"/>
      <c r="E27" s="3"/>
    </row>
    <row r="28" spans="1:16" x14ac:dyDescent="0.25">
      <c r="A28" s="6"/>
      <c r="E28" s="3"/>
    </row>
    <row r="29" spans="1:16" x14ac:dyDescent="0.25">
      <c r="A29" s="6"/>
      <c r="E29" s="3"/>
    </row>
    <row r="30" spans="1:16" x14ac:dyDescent="0.25">
      <c r="A30" s="6"/>
      <c r="E30" s="3"/>
    </row>
    <row r="31" spans="1:16" x14ac:dyDescent="0.25">
      <c r="A31" s="6"/>
      <c r="E31" s="3"/>
    </row>
    <row r="32" spans="1:16" x14ac:dyDescent="0.25">
      <c r="A32" s="6"/>
      <c r="E32" s="3"/>
    </row>
    <row r="33" spans="1:5" x14ac:dyDescent="0.25">
      <c r="A33" s="6"/>
      <c r="E33" s="3"/>
    </row>
    <row r="34" spans="1:5" x14ac:dyDescent="0.25">
      <c r="A34" s="6"/>
      <c r="E34" s="3"/>
    </row>
    <row r="35" spans="1:5" x14ac:dyDescent="0.25">
      <c r="A35" s="6"/>
      <c r="E35" s="3"/>
    </row>
    <row r="36" spans="1:5" x14ac:dyDescent="0.25">
      <c r="A36" s="6"/>
      <c r="E36" s="3"/>
    </row>
    <row r="37" spans="1:5" x14ac:dyDescent="0.25">
      <c r="A37" s="6"/>
      <c r="E37" s="3"/>
    </row>
    <row r="38" spans="1:5" x14ac:dyDescent="0.25">
      <c r="A38" s="6"/>
      <c r="E38" s="3"/>
    </row>
    <row r="39" spans="1:5" x14ac:dyDescent="0.25">
      <c r="A39" s="6"/>
      <c r="E39" s="3"/>
    </row>
    <row r="40" spans="1:5" x14ac:dyDescent="0.25">
      <c r="A40" s="6"/>
      <c r="E40" s="3"/>
    </row>
    <row r="41" spans="1:5" x14ac:dyDescent="0.25">
      <c r="A41" s="6"/>
      <c r="E41" s="3"/>
    </row>
    <row r="42" spans="1:5" x14ac:dyDescent="0.25">
      <c r="A42" s="6"/>
      <c r="E42" s="3"/>
    </row>
    <row r="43" spans="1:5" x14ac:dyDescent="0.25">
      <c r="A43" s="6"/>
      <c r="E43" s="3"/>
    </row>
    <row r="44" spans="1:5" x14ac:dyDescent="0.25">
      <c r="A44" s="6"/>
      <c r="E44" s="3"/>
    </row>
    <row r="45" spans="1:5" x14ac:dyDescent="0.25">
      <c r="A45" s="6"/>
      <c r="E45" s="3"/>
    </row>
    <row r="46" spans="1:5" x14ac:dyDescent="0.25">
      <c r="A46" s="6"/>
      <c r="E46" s="3"/>
    </row>
    <row r="47" spans="1:5" x14ac:dyDescent="0.25">
      <c r="A47" s="6"/>
      <c r="E47" s="3"/>
    </row>
    <row r="48" spans="1:5" x14ac:dyDescent="0.25">
      <c r="A48" s="6"/>
      <c r="E48" s="3"/>
    </row>
    <row r="49" spans="1:5" x14ac:dyDescent="0.25">
      <c r="A49" s="6"/>
      <c r="E49" s="3"/>
    </row>
    <row r="50" spans="1:5" x14ac:dyDescent="0.25">
      <c r="A50" s="6"/>
      <c r="E50" s="3"/>
    </row>
    <row r="51" spans="1:5" x14ac:dyDescent="0.25">
      <c r="A51" s="6"/>
      <c r="E51" s="3"/>
    </row>
    <row r="52" spans="1:5" x14ac:dyDescent="0.25">
      <c r="A52" s="6"/>
      <c r="E52" s="3"/>
    </row>
    <row r="53" spans="1:5" x14ac:dyDescent="0.25">
      <c r="A53" s="6"/>
      <c r="E53" s="3"/>
    </row>
    <row r="54" spans="1:5" x14ac:dyDescent="0.25">
      <c r="A54" s="6"/>
      <c r="E54" s="3"/>
    </row>
    <row r="55" spans="1:5" x14ac:dyDescent="0.25">
      <c r="A55" s="6"/>
      <c r="E55" s="3"/>
    </row>
    <row r="56" spans="1:5" x14ac:dyDescent="0.25">
      <c r="A56" s="6"/>
      <c r="E56" s="3"/>
    </row>
    <row r="57" spans="1:5" x14ac:dyDescent="0.25">
      <c r="A57" s="6"/>
      <c r="E57" s="3"/>
    </row>
    <row r="58" spans="1:5" x14ac:dyDescent="0.25">
      <c r="A58" s="6"/>
      <c r="E58" s="3"/>
    </row>
    <row r="59" spans="1:5" x14ac:dyDescent="0.25">
      <c r="A59" s="6"/>
      <c r="E59" s="3"/>
    </row>
    <row r="60" spans="1:5" x14ac:dyDescent="0.25">
      <c r="A60" s="6"/>
      <c r="E60" s="3"/>
    </row>
    <row r="61" spans="1:5" x14ac:dyDescent="0.25">
      <c r="A61" s="6"/>
      <c r="E61" s="3"/>
    </row>
    <row r="62" spans="1:5" x14ac:dyDescent="0.25">
      <c r="A62" s="6"/>
      <c r="E62" s="3"/>
    </row>
    <row r="63" spans="1:5" x14ac:dyDescent="0.25">
      <c r="A63" s="6"/>
      <c r="E63" s="3"/>
    </row>
    <row r="64" spans="1:5" x14ac:dyDescent="0.25">
      <c r="A64" s="6"/>
      <c r="E64" s="3"/>
    </row>
    <row r="65" spans="1:5" x14ac:dyDescent="0.25">
      <c r="A65" s="6"/>
      <c r="E65" s="3"/>
    </row>
    <row r="66" spans="1:5" x14ac:dyDescent="0.25">
      <c r="A66" s="6"/>
      <c r="E66" s="3"/>
    </row>
    <row r="67" spans="1:5" x14ac:dyDescent="0.25">
      <c r="A67" s="6"/>
      <c r="E67" s="3"/>
    </row>
    <row r="68" spans="1:5" x14ac:dyDescent="0.25">
      <c r="A68" s="6"/>
      <c r="E68" s="3"/>
    </row>
    <row r="69" spans="1:5" x14ac:dyDescent="0.25">
      <c r="A69" s="6"/>
      <c r="E69" s="3"/>
    </row>
    <row r="70" spans="1:5" x14ac:dyDescent="0.25">
      <c r="A70" s="6"/>
      <c r="E70" s="3"/>
    </row>
    <row r="71" spans="1:5" x14ac:dyDescent="0.25">
      <c r="A71" s="6"/>
      <c r="E71" s="3"/>
    </row>
    <row r="72" spans="1:5" x14ac:dyDescent="0.25">
      <c r="A72" s="6"/>
      <c r="E72" s="3"/>
    </row>
    <row r="73" spans="1:5" x14ac:dyDescent="0.25">
      <c r="A73" s="6"/>
      <c r="E73" s="3"/>
    </row>
    <row r="74" spans="1:5" x14ac:dyDescent="0.25">
      <c r="A74" s="6"/>
      <c r="E74" s="3"/>
    </row>
    <row r="75" spans="1:5" x14ac:dyDescent="0.25">
      <c r="A75" s="6"/>
      <c r="E75" s="3"/>
    </row>
    <row r="76" spans="1:5" x14ac:dyDescent="0.25">
      <c r="A76" s="6"/>
      <c r="E76" s="3"/>
    </row>
    <row r="77" spans="1:5" x14ac:dyDescent="0.25">
      <c r="A77" s="6"/>
      <c r="E77" s="3"/>
    </row>
    <row r="78" spans="1:5" x14ac:dyDescent="0.25">
      <c r="A78" s="6"/>
      <c r="E78" s="3"/>
    </row>
    <row r="79" spans="1:5" x14ac:dyDescent="0.25">
      <c r="A79" s="6"/>
      <c r="E79" s="3"/>
    </row>
    <row r="80" spans="1:5" x14ac:dyDescent="0.25">
      <c r="A80" s="6"/>
      <c r="E80" s="3"/>
    </row>
    <row r="81" spans="1:5" x14ac:dyDescent="0.25">
      <c r="A81" s="6"/>
      <c r="E81" s="3"/>
    </row>
    <row r="82" spans="1:5" x14ac:dyDescent="0.25">
      <c r="A82" s="6"/>
      <c r="E82" s="3"/>
    </row>
    <row r="83" spans="1:5" x14ac:dyDescent="0.25">
      <c r="A83" s="6"/>
      <c r="E83" s="3"/>
    </row>
    <row r="84" spans="1:5" x14ac:dyDescent="0.25">
      <c r="A84" s="6"/>
      <c r="E84" s="3"/>
    </row>
    <row r="85" spans="1:5" x14ac:dyDescent="0.25">
      <c r="A85" s="6"/>
      <c r="E85" s="3"/>
    </row>
    <row r="86" spans="1:5" x14ac:dyDescent="0.25">
      <c r="A86" s="6"/>
      <c r="E86" s="3"/>
    </row>
    <row r="87" spans="1:5" x14ac:dyDescent="0.25">
      <c r="A87" s="6"/>
      <c r="E87" s="3"/>
    </row>
    <row r="88" spans="1:5" x14ac:dyDescent="0.25">
      <c r="A88" s="6"/>
      <c r="E88" s="3"/>
    </row>
    <row r="89" spans="1:5" x14ac:dyDescent="0.25">
      <c r="A89" s="6"/>
      <c r="E89" s="3"/>
    </row>
    <row r="90" spans="1:5" x14ac:dyDescent="0.25">
      <c r="A90" s="6"/>
      <c r="E90" s="3"/>
    </row>
    <row r="91" spans="1:5" x14ac:dyDescent="0.25">
      <c r="A91" s="6"/>
      <c r="E91" s="3"/>
    </row>
    <row r="92" spans="1:5" x14ac:dyDescent="0.25">
      <c r="A92" s="6"/>
      <c r="E92" s="3"/>
    </row>
    <row r="93" spans="1:5" x14ac:dyDescent="0.25">
      <c r="A93" s="6"/>
      <c r="E93" s="3"/>
    </row>
    <row r="94" spans="1:5" x14ac:dyDescent="0.25">
      <c r="A94" s="6"/>
      <c r="E94" s="3"/>
    </row>
    <row r="95" spans="1:5" x14ac:dyDescent="0.25">
      <c r="A95" s="6"/>
      <c r="E95" s="3"/>
    </row>
    <row r="96" spans="1:5" x14ac:dyDescent="0.25">
      <c r="A96" s="6"/>
      <c r="E96" s="3"/>
    </row>
    <row r="97" spans="1:5" x14ac:dyDescent="0.25">
      <c r="A97" s="6"/>
      <c r="E97" s="3"/>
    </row>
    <row r="98" spans="1:5" x14ac:dyDescent="0.25">
      <c r="A98" s="6"/>
      <c r="E98" s="3"/>
    </row>
    <row r="99" spans="1:5" x14ac:dyDescent="0.25">
      <c r="A99" s="6"/>
      <c r="E99" s="3"/>
    </row>
    <row r="100" spans="1:5" x14ac:dyDescent="0.25">
      <c r="A100" s="6"/>
      <c r="E100" s="3"/>
    </row>
    <row r="101" spans="1:5" x14ac:dyDescent="0.25">
      <c r="A101" s="6"/>
      <c r="E101" s="3"/>
    </row>
    <row r="102" spans="1:5" x14ac:dyDescent="0.25">
      <c r="A102" s="6"/>
      <c r="E102" s="3"/>
    </row>
    <row r="103" spans="1:5" x14ac:dyDescent="0.25">
      <c r="A103" s="6"/>
      <c r="E103" s="3"/>
    </row>
    <row r="104" spans="1:5" x14ac:dyDescent="0.25">
      <c r="A104" s="6"/>
      <c r="E104" s="3"/>
    </row>
    <row r="105" spans="1:5" x14ac:dyDescent="0.25">
      <c r="A105" s="6"/>
      <c r="E105" s="3"/>
    </row>
    <row r="106" spans="1:5" x14ac:dyDescent="0.25">
      <c r="A106" s="6"/>
      <c r="E106" s="3"/>
    </row>
    <row r="107" spans="1:5" x14ac:dyDescent="0.25">
      <c r="A107" s="6"/>
      <c r="E107" s="3"/>
    </row>
    <row r="108" spans="1:5" x14ac:dyDescent="0.25">
      <c r="A108" s="6"/>
      <c r="E108" s="3"/>
    </row>
    <row r="109" spans="1:5" x14ac:dyDescent="0.25">
      <c r="A109" s="6"/>
      <c r="E109" s="3"/>
    </row>
    <row r="110" spans="1:5" x14ac:dyDescent="0.25">
      <c r="A110" s="6"/>
      <c r="E110" s="3"/>
    </row>
    <row r="111" spans="1:5" x14ac:dyDescent="0.25">
      <c r="A111" s="6"/>
      <c r="E111" s="3"/>
    </row>
    <row r="112" spans="1:5" x14ac:dyDescent="0.25">
      <c r="A112" s="6"/>
      <c r="E112" s="3"/>
    </row>
    <row r="113" spans="1:5" x14ac:dyDescent="0.25">
      <c r="A113" s="6"/>
      <c r="E113" s="3"/>
    </row>
    <row r="114" spans="1:5" x14ac:dyDescent="0.25">
      <c r="A114" s="6"/>
      <c r="E114" s="3"/>
    </row>
    <row r="115" spans="1:5" x14ac:dyDescent="0.25">
      <c r="A115" s="6"/>
      <c r="E115" s="3"/>
    </row>
    <row r="116" spans="1:5" x14ac:dyDescent="0.25">
      <c r="A116" s="6"/>
      <c r="E116" s="3"/>
    </row>
    <row r="117" spans="1:5" x14ac:dyDescent="0.25">
      <c r="A117" s="6"/>
      <c r="E117" s="3"/>
    </row>
    <row r="118" spans="1:5" x14ac:dyDescent="0.25">
      <c r="A118" s="6"/>
      <c r="E118" s="3"/>
    </row>
    <row r="119" spans="1:5" x14ac:dyDescent="0.25">
      <c r="A119" s="6"/>
      <c r="E119" s="3"/>
    </row>
    <row r="120" spans="1:5" x14ac:dyDescent="0.25">
      <c r="A120" s="6"/>
      <c r="E120" s="3"/>
    </row>
    <row r="121" spans="1:5" x14ac:dyDescent="0.25">
      <c r="A121" s="6"/>
      <c r="E121" s="3"/>
    </row>
    <row r="122" spans="1:5" x14ac:dyDescent="0.25">
      <c r="A122" s="6"/>
      <c r="E122" s="3"/>
    </row>
    <row r="123" spans="1:5" x14ac:dyDescent="0.25">
      <c r="A123" s="6"/>
      <c r="E123" s="3"/>
    </row>
    <row r="124" spans="1:5" x14ac:dyDescent="0.25">
      <c r="A124" s="6"/>
      <c r="E124" s="3"/>
    </row>
    <row r="125" spans="1:5" x14ac:dyDescent="0.25">
      <c r="A125" s="6"/>
      <c r="E125" s="3"/>
    </row>
    <row r="126" spans="1:5" x14ac:dyDescent="0.25">
      <c r="A126" s="6"/>
      <c r="E126" s="3"/>
    </row>
    <row r="127" spans="1:5" x14ac:dyDescent="0.25">
      <c r="A127" s="6"/>
      <c r="E127" s="3"/>
    </row>
    <row r="128" spans="1:5" x14ac:dyDescent="0.25">
      <c r="A128" s="6"/>
      <c r="E128" s="3"/>
    </row>
    <row r="129" spans="1:5" x14ac:dyDescent="0.25">
      <c r="A129" s="6"/>
      <c r="E129" s="3"/>
    </row>
    <row r="130" spans="1:5" x14ac:dyDescent="0.25">
      <c r="A130" s="6"/>
      <c r="E130" s="3"/>
    </row>
    <row r="131" spans="1:5" x14ac:dyDescent="0.25">
      <c r="A131" s="6"/>
      <c r="E131" s="3"/>
    </row>
    <row r="132" spans="1:5" x14ac:dyDescent="0.25">
      <c r="A132" s="6"/>
      <c r="E132" s="3"/>
    </row>
    <row r="133" spans="1:5" x14ac:dyDescent="0.25">
      <c r="A133" s="6"/>
      <c r="E133" s="3"/>
    </row>
    <row r="134" spans="1:5" x14ac:dyDescent="0.25">
      <c r="A134" s="6"/>
      <c r="E134" s="3"/>
    </row>
    <row r="135" spans="1:5" x14ac:dyDescent="0.25">
      <c r="A135" s="6"/>
      <c r="E135" s="3"/>
    </row>
    <row r="136" spans="1:5" x14ac:dyDescent="0.25">
      <c r="A136" s="6"/>
      <c r="E136" s="3"/>
    </row>
    <row r="137" spans="1:5" x14ac:dyDescent="0.25">
      <c r="A137" s="6"/>
      <c r="E137" s="3"/>
    </row>
    <row r="138" spans="1:5" x14ac:dyDescent="0.25">
      <c r="A138" s="6"/>
      <c r="E138" s="3"/>
    </row>
    <row r="139" spans="1:5" x14ac:dyDescent="0.25">
      <c r="A139" s="6"/>
      <c r="E139" s="3"/>
    </row>
    <row r="140" spans="1:5" x14ac:dyDescent="0.25">
      <c r="A140" s="6"/>
      <c r="E140" s="3"/>
    </row>
    <row r="141" spans="1:5" x14ac:dyDescent="0.25">
      <c r="A141" s="6"/>
      <c r="E141" s="3"/>
    </row>
    <row r="142" spans="1:5" x14ac:dyDescent="0.25">
      <c r="A142" s="6"/>
      <c r="E142" s="3"/>
    </row>
    <row r="143" spans="1:5" x14ac:dyDescent="0.25">
      <c r="A143" s="6"/>
      <c r="E143" s="3"/>
    </row>
    <row r="144" spans="1:5" x14ac:dyDescent="0.25">
      <c r="A144" s="6"/>
      <c r="E144" s="3"/>
    </row>
    <row r="145" spans="1:5" x14ac:dyDescent="0.25">
      <c r="A145" s="6"/>
      <c r="E145" s="3"/>
    </row>
    <row r="146" spans="1:5" x14ac:dyDescent="0.25">
      <c r="A146" s="6"/>
      <c r="E146" s="3"/>
    </row>
    <row r="147" spans="1:5" x14ac:dyDescent="0.25">
      <c r="A147" s="6"/>
      <c r="E147" s="3"/>
    </row>
    <row r="148" spans="1:5" x14ac:dyDescent="0.25">
      <c r="A148" s="6"/>
      <c r="E148" s="3"/>
    </row>
    <row r="149" spans="1:5" x14ac:dyDescent="0.25">
      <c r="A149" s="6"/>
      <c r="E149" s="3"/>
    </row>
    <row r="150" spans="1:5" x14ac:dyDescent="0.25">
      <c r="A150" s="6"/>
      <c r="E150" s="3"/>
    </row>
    <row r="151" spans="1:5" x14ac:dyDescent="0.25">
      <c r="A151" s="6"/>
      <c r="E151" s="3"/>
    </row>
    <row r="152" spans="1:5" x14ac:dyDescent="0.25">
      <c r="A152" s="6"/>
      <c r="E152" s="3"/>
    </row>
    <row r="153" spans="1:5" x14ac:dyDescent="0.25">
      <c r="A153" s="6"/>
      <c r="E153" s="3"/>
    </row>
    <row r="154" spans="1:5" x14ac:dyDescent="0.25">
      <c r="A154" s="6"/>
      <c r="E154" s="3"/>
    </row>
    <row r="155" spans="1:5" x14ac:dyDescent="0.25">
      <c r="A155" s="6"/>
      <c r="E155" s="3"/>
    </row>
    <row r="156" spans="1:5" x14ac:dyDescent="0.25">
      <c r="A156" s="6"/>
      <c r="E156" s="3"/>
    </row>
    <row r="157" spans="1:5" x14ac:dyDescent="0.25">
      <c r="A157" s="6"/>
      <c r="E157" s="3"/>
    </row>
    <row r="158" spans="1:5" x14ac:dyDescent="0.25">
      <c r="A158" s="6"/>
      <c r="E158" s="3"/>
    </row>
    <row r="159" spans="1:5" x14ac:dyDescent="0.25">
      <c r="A159" s="6"/>
      <c r="E159" s="3"/>
    </row>
    <row r="160" spans="1:5" x14ac:dyDescent="0.25">
      <c r="A160" s="6"/>
      <c r="E160" s="3"/>
    </row>
    <row r="161" spans="1:5" x14ac:dyDescent="0.25">
      <c r="A161" s="6"/>
      <c r="E161" s="3"/>
    </row>
    <row r="162" spans="1:5" x14ac:dyDescent="0.25">
      <c r="A162" s="6"/>
      <c r="E162" s="3"/>
    </row>
    <row r="163" spans="1:5" x14ac:dyDescent="0.25">
      <c r="A163" s="6"/>
      <c r="E163" s="3"/>
    </row>
    <row r="164" spans="1:5" x14ac:dyDescent="0.25">
      <c r="A164" s="6"/>
      <c r="E164" s="3"/>
    </row>
    <row r="165" spans="1:5" x14ac:dyDescent="0.25">
      <c r="A165" s="6"/>
      <c r="E165" s="3"/>
    </row>
    <row r="166" spans="1:5" x14ac:dyDescent="0.25">
      <c r="A166" s="6"/>
      <c r="E166" s="3"/>
    </row>
    <row r="167" spans="1:5" x14ac:dyDescent="0.25">
      <c r="A167" s="6"/>
      <c r="E167" s="3"/>
    </row>
    <row r="168" spans="1:5" x14ac:dyDescent="0.25">
      <c r="A168" s="6"/>
      <c r="E168" s="3"/>
    </row>
    <row r="169" spans="1:5" x14ac:dyDescent="0.25">
      <c r="A169" s="6"/>
      <c r="E169" s="3"/>
    </row>
    <row r="170" spans="1:5" x14ac:dyDescent="0.25">
      <c r="A170" s="6"/>
      <c r="E170" s="3"/>
    </row>
    <row r="171" spans="1:5" x14ac:dyDescent="0.25">
      <c r="A171" s="6"/>
      <c r="E171" s="3"/>
    </row>
    <row r="172" spans="1:5" x14ac:dyDescent="0.25">
      <c r="A172" s="6"/>
      <c r="E172" s="3"/>
    </row>
    <row r="173" spans="1:5" x14ac:dyDescent="0.25">
      <c r="A173" s="6"/>
      <c r="E173" s="3"/>
    </row>
    <row r="174" spans="1:5" x14ac:dyDescent="0.25">
      <c r="A174" s="6"/>
      <c r="E174" s="3"/>
    </row>
    <row r="175" spans="1:5" x14ac:dyDescent="0.25">
      <c r="A175" s="6"/>
      <c r="E175" s="3"/>
    </row>
    <row r="176" spans="1:5" x14ac:dyDescent="0.25">
      <c r="A176" s="6"/>
      <c r="E176" s="3"/>
    </row>
    <row r="177" spans="1:5" x14ac:dyDescent="0.25">
      <c r="A177" s="6"/>
      <c r="E177" s="3"/>
    </row>
    <row r="178" spans="1:5" x14ac:dyDescent="0.25">
      <c r="A178" s="6"/>
      <c r="E178" s="3"/>
    </row>
    <row r="179" spans="1:5" x14ac:dyDescent="0.25">
      <c r="A179" s="6"/>
      <c r="E179" s="3"/>
    </row>
    <row r="180" spans="1:5" x14ac:dyDescent="0.25">
      <c r="A180" s="6"/>
      <c r="E180" s="3"/>
    </row>
    <row r="181" spans="1:5" x14ac:dyDescent="0.25">
      <c r="A181" s="6"/>
      <c r="E181" s="3"/>
    </row>
    <row r="182" spans="1:5" x14ac:dyDescent="0.25">
      <c r="A182" s="6"/>
      <c r="E182" s="3"/>
    </row>
    <row r="183" spans="1:5" x14ac:dyDescent="0.25">
      <c r="A183" s="6"/>
      <c r="E183" s="3"/>
    </row>
    <row r="184" spans="1:5" x14ac:dyDescent="0.25">
      <c r="A184" s="6"/>
      <c r="E184" s="3"/>
    </row>
    <row r="185" spans="1:5" x14ac:dyDescent="0.25">
      <c r="A185" s="6"/>
      <c r="E185" s="3"/>
    </row>
    <row r="186" spans="1:5" x14ac:dyDescent="0.25">
      <c r="A186" s="6"/>
      <c r="E186" s="3"/>
    </row>
    <row r="187" spans="1:5" x14ac:dyDescent="0.25">
      <c r="A187" s="6"/>
      <c r="E187" s="3"/>
    </row>
    <row r="188" spans="1:5" x14ac:dyDescent="0.25">
      <c r="A188" s="6"/>
      <c r="E188" s="3"/>
    </row>
    <row r="189" spans="1:5" x14ac:dyDescent="0.25">
      <c r="A189" s="6"/>
      <c r="E189" s="3"/>
    </row>
    <row r="190" spans="1:5" x14ac:dyDescent="0.25">
      <c r="A190" s="6"/>
      <c r="E190" s="3"/>
    </row>
    <row r="191" spans="1:5" x14ac:dyDescent="0.25">
      <c r="A191" s="6"/>
      <c r="E191" s="3"/>
    </row>
    <row r="192" spans="1:5" x14ac:dyDescent="0.25">
      <c r="A192" s="6"/>
      <c r="E192" s="3"/>
    </row>
    <row r="193" spans="1:5" x14ac:dyDescent="0.25">
      <c r="A193" s="6"/>
      <c r="E193" s="3"/>
    </row>
    <row r="194" spans="1:5" x14ac:dyDescent="0.25">
      <c r="A194" s="6"/>
      <c r="E194" s="3"/>
    </row>
    <row r="195" spans="1:5" x14ac:dyDescent="0.25">
      <c r="A195" s="6"/>
      <c r="E195" s="3"/>
    </row>
    <row r="196" spans="1:5" x14ac:dyDescent="0.25">
      <c r="A196" s="6"/>
      <c r="E196" s="3"/>
    </row>
    <row r="197" spans="1:5" x14ac:dyDescent="0.25">
      <c r="A197" s="6"/>
      <c r="E197" s="3"/>
    </row>
    <row r="198" spans="1:5" x14ac:dyDescent="0.25">
      <c r="A198" s="6"/>
      <c r="E198" s="3"/>
    </row>
    <row r="199" spans="1:5" x14ac:dyDescent="0.25">
      <c r="A199" s="6"/>
      <c r="E199" s="3"/>
    </row>
    <row r="200" spans="1:5" x14ac:dyDescent="0.25">
      <c r="A200" s="6"/>
      <c r="E200" s="3"/>
    </row>
    <row r="201" spans="1:5" x14ac:dyDescent="0.25">
      <c r="A201" s="6"/>
      <c r="E201" s="3"/>
    </row>
    <row r="202" spans="1:5" x14ac:dyDescent="0.25">
      <c r="A202" s="6"/>
      <c r="E202" s="3"/>
    </row>
    <row r="203" spans="1:5" x14ac:dyDescent="0.25">
      <c r="A203" s="6"/>
      <c r="E203" s="3"/>
    </row>
    <row r="204" spans="1:5" x14ac:dyDescent="0.25">
      <c r="A204" s="6"/>
      <c r="E204" s="3"/>
    </row>
    <row r="205" spans="1:5" x14ac:dyDescent="0.25">
      <c r="A205" s="6"/>
      <c r="E205" s="3"/>
    </row>
    <row r="206" spans="1:5" x14ac:dyDescent="0.25">
      <c r="A206" s="6"/>
      <c r="E206" s="3"/>
    </row>
    <row r="207" spans="1:5" x14ac:dyDescent="0.25">
      <c r="A207" s="6"/>
      <c r="E207" s="3"/>
    </row>
    <row r="208" spans="1:5" x14ac:dyDescent="0.25">
      <c r="A208" s="6"/>
      <c r="E208" s="3"/>
    </row>
    <row r="209" spans="1:5" x14ac:dyDescent="0.25">
      <c r="A209" s="6"/>
      <c r="E209" s="3"/>
    </row>
    <row r="210" spans="1:5" x14ac:dyDescent="0.25">
      <c r="A210" s="6"/>
      <c r="E210" s="3"/>
    </row>
    <row r="211" spans="1:5" x14ac:dyDescent="0.25">
      <c r="A211" s="6"/>
      <c r="E211" s="3"/>
    </row>
    <row r="212" spans="1:5" x14ac:dyDescent="0.25">
      <c r="A212" s="6"/>
      <c r="E212" s="3"/>
    </row>
    <row r="213" spans="1:5" x14ac:dyDescent="0.25">
      <c r="A213" s="6"/>
      <c r="E213" s="3"/>
    </row>
    <row r="214" spans="1:5" x14ac:dyDescent="0.25">
      <c r="A214" s="6"/>
      <c r="E214" s="3"/>
    </row>
    <row r="215" spans="1:5" x14ac:dyDescent="0.25">
      <c r="A215" s="6"/>
      <c r="E215" s="3"/>
    </row>
    <row r="216" spans="1:5" x14ac:dyDescent="0.25">
      <c r="A216" s="6"/>
      <c r="E216" s="3"/>
    </row>
    <row r="217" spans="1:5" x14ac:dyDescent="0.25">
      <c r="A217" s="6"/>
      <c r="E217" s="3"/>
    </row>
    <row r="218" spans="1:5" x14ac:dyDescent="0.25">
      <c r="A218" s="6"/>
      <c r="E218" s="3"/>
    </row>
    <row r="219" spans="1:5" x14ac:dyDescent="0.25">
      <c r="A219" s="6"/>
      <c r="E219" s="3"/>
    </row>
    <row r="220" spans="1:5" x14ac:dyDescent="0.25">
      <c r="A220" s="6"/>
      <c r="E220" s="3"/>
    </row>
    <row r="221" spans="1:5" x14ac:dyDescent="0.25">
      <c r="A221" s="6"/>
      <c r="E221" s="3"/>
    </row>
    <row r="222" spans="1:5" x14ac:dyDescent="0.25">
      <c r="A222" s="6"/>
      <c r="E222" s="3"/>
    </row>
    <row r="223" spans="1:5" x14ac:dyDescent="0.25">
      <c r="A223" s="6"/>
      <c r="E223" s="3"/>
    </row>
    <row r="224" spans="1:5" x14ac:dyDescent="0.25">
      <c r="A224" s="6"/>
      <c r="E224" s="3"/>
    </row>
    <row r="225" spans="1:5" x14ac:dyDescent="0.25">
      <c r="A225" s="6"/>
      <c r="E225" s="3"/>
    </row>
    <row r="226" spans="1:5" x14ac:dyDescent="0.25">
      <c r="A226" s="6"/>
      <c r="E226" s="3"/>
    </row>
    <row r="227" spans="1:5" x14ac:dyDescent="0.25">
      <c r="A227" s="6"/>
      <c r="E227" s="3"/>
    </row>
    <row r="228" spans="1:5" x14ac:dyDescent="0.25">
      <c r="A228" s="6"/>
      <c r="E228" s="3"/>
    </row>
    <row r="229" spans="1:5" x14ac:dyDescent="0.25">
      <c r="A229" s="6"/>
      <c r="E229" s="3"/>
    </row>
    <row r="230" spans="1:5" x14ac:dyDescent="0.25">
      <c r="A230" s="6"/>
      <c r="E230" s="3"/>
    </row>
    <row r="231" spans="1:5" x14ac:dyDescent="0.25">
      <c r="A231" s="6"/>
      <c r="E231" s="3"/>
    </row>
    <row r="232" spans="1:5" x14ac:dyDescent="0.25">
      <c r="A232" s="6"/>
      <c r="E232" s="3"/>
    </row>
    <row r="233" spans="1:5" x14ac:dyDescent="0.25">
      <c r="A233" s="6"/>
      <c r="E233" s="3"/>
    </row>
    <row r="234" spans="1:5" x14ac:dyDescent="0.25">
      <c r="A234" s="6"/>
      <c r="E234" s="3"/>
    </row>
    <row r="235" spans="1:5" x14ac:dyDescent="0.25">
      <c r="A235" s="6"/>
      <c r="E235" s="3"/>
    </row>
    <row r="236" spans="1:5" x14ac:dyDescent="0.25">
      <c r="A236" s="6"/>
      <c r="E236" s="3"/>
    </row>
    <row r="237" spans="1:5" x14ac:dyDescent="0.25">
      <c r="A237" s="6"/>
      <c r="E237" s="3"/>
    </row>
    <row r="238" spans="1:5" x14ac:dyDescent="0.25">
      <c r="A238" s="6"/>
      <c r="E238" s="3"/>
    </row>
    <row r="239" spans="1:5" x14ac:dyDescent="0.25">
      <c r="A239" s="6"/>
      <c r="E239" s="3"/>
    </row>
    <row r="240" spans="1:5" x14ac:dyDescent="0.25">
      <c r="A240" s="6"/>
      <c r="E240" s="3"/>
    </row>
    <row r="241" spans="1:5" x14ac:dyDescent="0.25">
      <c r="A241" s="6"/>
      <c r="E241" s="3"/>
    </row>
    <row r="242" spans="1:5" x14ac:dyDescent="0.25">
      <c r="A242" s="6"/>
      <c r="E242" s="3"/>
    </row>
    <row r="243" spans="1:5" x14ac:dyDescent="0.25">
      <c r="A243" s="6"/>
      <c r="E243" s="3"/>
    </row>
    <row r="244" spans="1:5" x14ac:dyDescent="0.25">
      <c r="A244" s="6"/>
      <c r="E244" s="3"/>
    </row>
    <row r="245" spans="1:5" x14ac:dyDescent="0.25">
      <c r="A245" s="6"/>
      <c r="E245" s="3"/>
    </row>
    <row r="246" spans="1:5" x14ac:dyDescent="0.25">
      <c r="A246" s="6"/>
      <c r="E246" s="3"/>
    </row>
    <row r="247" spans="1:5" x14ac:dyDescent="0.25">
      <c r="A247" s="6"/>
      <c r="E247" s="3"/>
    </row>
    <row r="248" spans="1:5" x14ac:dyDescent="0.25">
      <c r="A248" s="6"/>
      <c r="E248" s="3"/>
    </row>
    <row r="249" spans="1:5" x14ac:dyDescent="0.25">
      <c r="A249" s="6"/>
      <c r="E249" s="3"/>
    </row>
    <row r="250" spans="1:5" x14ac:dyDescent="0.25">
      <c r="A250" s="6"/>
      <c r="E250" s="3"/>
    </row>
    <row r="251" spans="1:5" x14ac:dyDescent="0.25">
      <c r="A251" s="6"/>
      <c r="E251" s="3"/>
    </row>
    <row r="252" spans="1:5" x14ac:dyDescent="0.25">
      <c r="A252" s="6"/>
      <c r="E252" s="3"/>
    </row>
    <row r="253" spans="1:5" x14ac:dyDescent="0.25">
      <c r="A253" s="6"/>
      <c r="E253" s="3"/>
    </row>
    <row r="254" spans="1:5" x14ac:dyDescent="0.25">
      <c r="A254" s="6"/>
      <c r="E254" s="3"/>
    </row>
    <row r="255" spans="1:5" x14ac:dyDescent="0.25">
      <c r="A255" s="6"/>
      <c r="E255" s="3"/>
    </row>
    <row r="256" spans="1:5" x14ac:dyDescent="0.25">
      <c r="A256" s="6"/>
      <c r="E256" s="3"/>
    </row>
    <row r="257" spans="1:5" x14ac:dyDescent="0.25">
      <c r="A257" s="6"/>
      <c r="E257" s="3"/>
    </row>
    <row r="258" spans="1:5" x14ac:dyDescent="0.25">
      <c r="A258" s="6"/>
      <c r="E258" s="3"/>
    </row>
    <row r="259" spans="1:5" x14ac:dyDescent="0.25">
      <c r="A259" s="6"/>
      <c r="E259" s="3"/>
    </row>
    <row r="260" spans="1:5" x14ac:dyDescent="0.25">
      <c r="A260" s="6"/>
      <c r="E260" s="3"/>
    </row>
    <row r="261" spans="1:5" x14ac:dyDescent="0.25">
      <c r="A261" s="6"/>
      <c r="E261" s="3"/>
    </row>
    <row r="262" spans="1:5" x14ac:dyDescent="0.25">
      <c r="A262" s="6"/>
      <c r="E262" s="3"/>
    </row>
    <row r="263" spans="1:5" x14ac:dyDescent="0.25">
      <c r="A263" s="6"/>
      <c r="E263" s="3"/>
    </row>
    <row r="264" spans="1:5" x14ac:dyDescent="0.25">
      <c r="A264" s="6"/>
      <c r="E264" s="3"/>
    </row>
    <row r="265" spans="1:5" x14ac:dyDescent="0.25">
      <c r="A265" s="6"/>
      <c r="E265" s="3"/>
    </row>
    <row r="266" spans="1:5" x14ac:dyDescent="0.25">
      <c r="A266" s="6"/>
      <c r="E266" s="3"/>
    </row>
    <row r="267" spans="1:5" x14ac:dyDescent="0.25">
      <c r="A267" s="6"/>
      <c r="E267" s="3"/>
    </row>
    <row r="268" spans="1:5" x14ac:dyDescent="0.25">
      <c r="A268" s="6"/>
      <c r="E268" s="3"/>
    </row>
    <row r="269" spans="1:5" x14ac:dyDescent="0.25">
      <c r="A269" s="6"/>
      <c r="E269" s="3"/>
    </row>
    <row r="270" spans="1:5" x14ac:dyDescent="0.25">
      <c r="A270" s="6"/>
      <c r="E270" s="3"/>
    </row>
    <row r="271" spans="1:5" x14ac:dyDescent="0.25">
      <c r="A271" s="6"/>
      <c r="E271" s="3"/>
    </row>
    <row r="272" spans="1:5" x14ac:dyDescent="0.25">
      <c r="A272" s="6"/>
      <c r="E272" s="3"/>
    </row>
    <row r="273" spans="1:5" x14ac:dyDescent="0.25">
      <c r="A273" s="6"/>
      <c r="E273" s="3"/>
    </row>
    <row r="274" spans="1:5" x14ac:dyDescent="0.25">
      <c r="A274" s="6"/>
      <c r="E274" s="3"/>
    </row>
    <row r="275" spans="1:5" x14ac:dyDescent="0.25">
      <c r="A275" s="6"/>
      <c r="E275" s="3"/>
    </row>
    <row r="276" spans="1:5" x14ac:dyDescent="0.25">
      <c r="A276" s="6"/>
      <c r="E276" s="3"/>
    </row>
    <row r="277" spans="1:5" x14ac:dyDescent="0.25">
      <c r="A277" s="6"/>
      <c r="E277" s="3"/>
    </row>
    <row r="278" spans="1:5" x14ac:dyDescent="0.25">
      <c r="A278" s="6"/>
      <c r="E278" s="3"/>
    </row>
    <row r="279" spans="1:5" x14ac:dyDescent="0.25">
      <c r="A279" s="6"/>
      <c r="E279" s="3"/>
    </row>
    <row r="280" spans="1:5" x14ac:dyDescent="0.25">
      <c r="A280" s="6"/>
      <c r="E280" s="3"/>
    </row>
    <row r="281" spans="1:5" x14ac:dyDescent="0.25">
      <c r="A281" s="6"/>
      <c r="E281" s="3"/>
    </row>
    <row r="282" spans="1:5" x14ac:dyDescent="0.25">
      <c r="A282" s="6"/>
      <c r="E282" s="3"/>
    </row>
    <row r="283" spans="1:5" x14ac:dyDescent="0.25">
      <c r="A283" s="6"/>
      <c r="E283" s="3"/>
    </row>
    <row r="284" spans="1:5" x14ac:dyDescent="0.25">
      <c r="A284" s="6"/>
      <c r="E284" s="3"/>
    </row>
    <row r="285" spans="1:5" x14ac:dyDescent="0.25">
      <c r="A285" s="6"/>
      <c r="E285" s="3"/>
    </row>
    <row r="286" spans="1:5" x14ac:dyDescent="0.25">
      <c r="A286" s="6"/>
      <c r="E286" s="3"/>
    </row>
    <row r="287" spans="1:5" x14ac:dyDescent="0.25">
      <c r="A287" s="6"/>
      <c r="E287" s="3"/>
    </row>
    <row r="288" spans="1:5" x14ac:dyDescent="0.25">
      <c r="A288" s="6"/>
      <c r="E288" s="3"/>
    </row>
    <row r="289" spans="1:5" x14ac:dyDescent="0.25">
      <c r="A289" s="6"/>
      <c r="E289" s="3"/>
    </row>
    <row r="290" spans="1:5" x14ac:dyDescent="0.25">
      <c r="A290" s="6"/>
      <c r="E290" s="3"/>
    </row>
    <row r="291" spans="1:5" x14ac:dyDescent="0.25">
      <c r="A291" s="6"/>
      <c r="E291" s="3"/>
    </row>
    <row r="292" spans="1:5" x14ac:dyDescent="0.25">
      <c r="A292" s="6"/>
      <c r="E292" s="3"/>
    </row>
    <row r="293" spans="1:5" x14ac:dyDescent="0.25">
      <c r="A293" s="6"/>
      <c r="E293" s="3"/>
    </row>
    <row r="294" spans="1:5" x14ac:dyDescent="0.25">
      <c r="A294" s="6"/>
      <c r="E294" s="3"/>
    </row>
    <row r="295" spans="1:5" x14ac:dyDescent="0.25">
      <c r="A295" s="6"/>
      <c r="E295" s="3"/>
    </row>
    <row r="296" spans="1:5" x14ac:dyDescent="0.25">
      <c r="A296" s="6"/>
      <c r="E296" s="3"/>
    </row>
    <row r="297" spans="1:5" x14ac:dyDescent="0.25">
      <c r="A297" s="6"/>
      <c r="E297" s="3"/>
    </row>
    <row r="298" spans="1:5" x14ac:dyDescent="0.25">
      <c r="A298" s="6"/>
      <c r="E298" s="3"/>
    </row>
    <row r="299" spans="1:5" x14ac:dyDescent="0.25">
      <c r="A299" s="6"/>
      <c r="E299" s="3"/>
    </row>
    <row r="300" spans="1:5" x14ac:dyDescent="0.25">
      <c r="A300" s="6"/>
      <c r="E300" s="3"/>
    </row>
    <row r="301" spans="1:5" x14ac:dyDescent="0.25">
      <c r="A301" s="6"/>
      <c r="E301" s="3"/>
    </row>
    <row r="302" spans="1:5" x14ac:dyDescent="0.25">
      <c r="A302" s="6"/>
      <c r="E302" s="3"/>
    </row>
    <row r="303" spans="1:5" x14ac:dyDescent="0.25">
      <c r="A303" s="6"/>
      <c r="E303" s="3"/>
    </row>
    <row r="304" spans="1:5" x14ac:dyDescent="0.25">
      <c r="A304" s="6"/>
      <c r="E304" s="3"/>
    </row>
    <row r="305" spans="1:5" x14ac:dyDescent="0.25">
      <c r="A305" s="6"/>
      <c r="E305" s="3"/>
    </row>
    <row r="306" spans="1:5" x14ac:dyDescent="0.25">
      <c r="A306" s="6"/>
      <c r="E306" s="3"/>
    </row>
    <row r="307" spans="1:5" x14ac:dyDescent="0.25">
      <c r="A307" s="6"/>
      <c r="E307" s="3"/>
    </row>
    <row r="308" spans="1:5" x14ac:dyDescent="0.25">
      <c r="A308" s="6"/>
      <c r="E308" s="3"/>
    </row>
    <row r="309" spans="1:5" x14ac:dyDescent="0.25">
      <c r="A309" s="6"/>
      <c r="E309" s="3"/>
    </row>
    <row r="310" spans="1:5" x14ac:dyDescent="0.25">
      <c r="A310" s="6"/>
      <c r="E310" s="3"/>
    </row>
    <row r="311" spans="1:5" x14ac:dyDescent="0.25">
      <c r="A311" s="6"/>
      <c r="E311" s="3"/>
    </row>
    <row r="312" spans="1:5" x14ac:dyDescent="0.25">
      <c r="A312" s="6"/>
      <c r="E312" s="3"/>
    </row>
    <row r="313" spans="1:5" x14ac:dyDescent="0.25">
      <c r="A313" s="6"/>
      <c r="E313" s="3"/>
    </row>
    <row r="314" spans="1:5" x14ac:dyDescent="0.25">
      <c r="A314" s="6"/>
      <c r="E314" s="3"/>
    </row>
    <row r="315" spans="1:5" x14ac:dyDescent="0.25">
      <c r="A315" s="6"/>
      <c r="E315" s="3"/>
    </row>
    <row r="316" spans="1:5" x14ac:dyDescent="0.25">
      <c r="A316" s="6"/>
      <c r="E316" s="3"/>
    </row>
    <row r="317" spans="1:5" x14ac:dyDescent="0.25">
      <c r="A317" s="6"/>
      <c r="E317" s="3"/>
    </row>
    <row r="318" spans="1:5" x14ac:dyDescent="0.25">
      <c r="A318" s="6"/>
      <c r="E318" s="3"/>
    </row>
    <row r="319" spans="1:5" x14ac:dyDescent="0.25">
      <c r="A319" s="6"/>
      <c r="E319" s="3"/>
    </row>
    <row r="320" spans="1:5" x14ac:dyDescent="0.25">
      <c r="A320" s="6"/>
      <c r="E320" s="3"/>
    </row>
    <row r="321" spans="1:5" x14ac:dyDescent="0.25">
      <c r="A321" s="6"/>
      <c r="E321" s="3"/>
    </row>
    <row r="322" spans="1:5" x14ac:dyDescent="0.25">
      <c r="A322" s="6"/>
      <c r="E322" s="3"/>
    </row>
    <row r="323" spans="1:5" x14ac:dyDescent="0.25">
      <c r="A323" s="6"/>
      <c r="E323" s="3"/>
    </row>
    <row r="324" spans="1:5" x14ac:dyDescent="0.25">
      <c r="A324" s="6"/>
      <c r="E324" s="3"/>
    </row>
    <row r="325" spans="1:5" x14ac:dyDescent="0.25">
      <c r="A325" s="6"/>
      <c r="E325" s="3"/>
    </row>
    <row r="326" spans="1:5" x14ac:dyDescent="0.25">
      <c r="A326" s="6"/>
      <c r="E326" s="3"/>
    </row>
    <row r="327" spans="1:5" x14ac:dyDescent="0.25">
      <c r="A327" s="6"/>
      <c r="E327" s="3"/>
    </row>
    <row r="328" spans="1:5" x14ac:dyDescent="0.25">
      <c r="A328" s="6"/>
      <c r="E328" s="3"/>
    </row>
    <row r="329" spans="1:5" x14ac:dyDescent="0.25">
      <c r="A329" s="6"/>
      <c r="E329" s="3"/>
    </row>
    <row r="330" spans="1:5" x14ac:dyDescent="0.25">
      <c r="A330" s="6"/>
      <c r="E330" s="3"/>
    </row>
    <row r="331" spans="1:5" x14ac:dyDescent="0.25">
      <c r="A331" s="6"/>
      <c r="E331" s="3"/>
    </row>
    <row r="332" spans="1:5" x14ac:dyDescent="0.25">
      <c r="A332" s="6"/>
      <c r="E332" s="3"/>
    </row>
    <row r="333" spans="1:5" x14ac:dyDescent="0.25">
      <c r="A333" s="6"/>
      <c r="E333" s="3"/>
    </row>
    <row r="334" spans="1:5" x14ac:dyDescent="0.25">
      <c r="A334" s="6"/>
      <c r="E334" s="3"/>
    </row>
    <row r="335" spans="1:5" x14ac:dyDescent="0.25">
      <c r="A335" s="6"/>
      <c r="E335" s="3"/>
    </row>
    <row r="336" spans="1:5" x14ac:dyDescent="0.25">
      <c r="A336" s="6"/>
      <c r="E336" s="3"/>
    </row>
    <row r="337" spans="1:5" x14ac:dyDescent="0.25">
      <c r="A337" s="6"/>
      <c r="E337" s="3"/>
    </row>
    <row r="338" spans="1:5" x14ac:dyDescent="0.25">
      <c r="A338" s="6"/>
      <c r="E338" s="3"/>
    </row>
    <row r="339" spans="1:5" x14ac:dyDescent="0.25">
      <c r="A339" s="6"/>
      <c r="E339" s="3"/>
    </row>
    <row r="340" spans="1:5" x14ac:dyDescent="0.25">
      <c r="A340" s="6"/>
      <c r="E340" s="3"/>
    </row>
    <row r="341" spans="1:5" x14ac:dyDescent="0.25">
      <c r="A341" s="6"/>
      <c r="E341" s="3"/>
    </row>
    <row r="342" spans="1:5" x14ac:dyDescent="0.25">
      <c r="A342" s="6"/>
      <c r="E342" s="3"/>
    </row>
    <row r="343" spans="1:5" x14ac:dyDescent="0.25">
      <c r="A343" s="6"/>
      <c r="E343" s="3"/>
    </row>
    <row r="344" spans="1:5" x14ac:dyDescent="0.25">
      <c r="A344" s="6"/>
      <c r="E344" s="3"/>
    </row>
    <row r="345" spans="1:5" x14ac:dyDescent="0.25">
      <c r="A345" s="6"/>
      <c r="E345" s="3"/>
    </row>
    <row r="346" spans="1:5" x14ac:dyDescent="0.25">
      <c r="A346" s="6"/>
      <c r="E346" s="3"/>
    </row>
    <row r="347" spans="1:5" x14ac:dyDescent="0.25">
      <c r="A347" s="6"/>
      <c r="E347" s="3"/>
    </row>
    <row r="348" spans="1:5" x14ac:dyDescent="0.25">
      <c r="A348" s="6"/>
      <c r="E348" s="3"/>
    </row>
    <row r="349" spans="1:5" x14ac:dyDescent="0.25">
      <c r="A349" s="6"/>
      <c r="E349" s="3"/>
    </row>
    <row r="350" spans="1:5" x14ac:dyDescent="0.25">
      <c r="A350" s="6"/>
      <c r="E350" s="3"/>
    </row>
    <row r="351" spans="1:5" x14ac:dyDescent="0.25">
      <c r="A351" s="6"/>
      <c r="E351" s="3"/>
    </row>
    <row r="352" spans="1:5" x14ac:dyDescent="0.25">
      <c r="A352" s="6"/>
      <c r="E352" s="3"/>
    </row>
    <row r="353" spans="1:5" x14ac:dyDescent="0.25">
      <c r="A353" s="6"/>
      <c r="E353" s="3"/>
    </row>
    <row r="354" spans="1:5" x14ac:dyDescent="0.25">
      <c r="A354" s="6"/>
      <c r="E354" s="3"/>
    </row>
    <row r="355" spans="1:5" x14ac:dyDescent="0.25">
      <c r="A355" s="6"/>
      <c r="E355" s="3"/>
    </row>
    <row r="356" spans="1:5" x14ac:dyDescent="0.25">
      <c r="A356" s="6"/>
      <c r="E356" s="3"/>
    </row>
    <row r="357" spans="1:5" x14ac:dyDescent="0.25">
      <c r="A357" s="6"/>
      <c r="E357" s="3"/>
    </row>
    <row r="358" spans="1:5" x14ac:dyDescent="0.25">
      <c r="A358" s="6"/>
      <c r="E358" s="3"/>
    </row>
    <row r="359" spans="1:5" x14ac:dyDescent="0.25">
      <c r="A359" s="6"/>
      <c r="E359" s="3"/>
    </row>
    <row r="360" spans="1:5" x14ac:dyDescent="0.25">
      <c r="A360" s="6"/>
      <c r="E360" s="3"/>
    </row>
    <row r="361" spans="1:5" x14ac:dyDescent="0.25">
      <c r="A361" s="6"/>
      <c r="E361" s="3"/>
    </row>
    <row r="362" spans="1:5" x14ac:dyDescent="0.25">
      <c r="A362" s="6"/>
      <c r="E362" s="3"/>
    </row>
    <row r="363" spans="1:5" x14ac:dyDescent="0.25">
      <c r="A363" s="6"/>
      <c r="E363" s="3"/>
    </row>
    <row r="364" spans="1:5" x14ac:dyDescent="0.25">
      <c r="A364" s="6"/>
      <c r="E364" s="3"/>
    </row>
    <row r="365" spans="1:5" x14ac:dyDescent="0.25">
      <c r="A365" s="6"/>
      <c r="E365" s="3"/>
    </row>
    <row r="366" spans="1:5" x14ac:dyDescent="0.25">
      <c r="A366" s="6"/>
      <c r="E366" s="3"/>
    </row>
    <row r="367" spans="1:5" x14ac:dyDescent="0.25">
      <c r="A367" s="6"/>
      <c r="E367" s="3"/>
    </row>
    <row r="368" spans="1:5" x14ac:dyDescent="0.25">
      <c r="A368" s="6"/>
      <c r="E368" s="3"/>
    </row>
    <row r="369" spans="1:5" x14ac:dyDescent="0.25">
      <c r="A369" s="6"/>
      <c r="E369" s="3"/>
    </row>
    <row r="370" spans="1:5" x14ac:dyDescent="0.25">
      <c r="A370" s="6"/>
      <c r="E370" s="3"/>
    </row>
    <row r="371" spans="1:5" x14ac:dyDescent="0.25">
      <c r="A371" s="6"/>
      <c r="E371" s="3"/>
    </row>
    <row r="372" spans="1:5" x14ac:dyDescent="0.25">
      <c r="A372" s="6"/>
      <c r="E372" s="3"/>
    </row>
    <row r="373" spans="1:5" x14ac:dyDescent="0.25">
      <c r="A373" s="6"/>
      <c r="E373" s="3"/>
    </row>
    <row r="374" spans="1:5" x14ac:dyDescent="0.25">
      <c r="A374" s="6"/>
      <c r="E374" s="3"/>
    </row>
    <row r="375" spans="1:5" x14ac:dyDescent="0.25">
      <c r="A375" s="6"/>
      <c r="E375" s="3"/>
    </row>
    <row r="376" spans="1:5" x14ac:dyDescent="0.25">
      <c r="A376" s="6"/>
      <c r="E376" s="3"/>
    </row>
    <row r="377" spans="1:5" x14ac:dyDescent="0.25">
      <c r="A377" s="6"/>
      <c r="E377" s="3"/>
    </row>
    <row r="378" spans="1:5" x14ac:dyDescent="0.25">
      <c r="A378" s="6"/>
      <c r="E378" s="3"/>
    </row>
    <row r="379" spans="1:5" x14ac:dyDescent="0.25">
      <c r="A379" s="6"/>
      <c r="E379" s="3"/>
    </row>
    <row r="380" spans="1:5" x14ac:dyDescent="0.25">
      <c r="A380" s="6"/>
      <c r="E380" s="3"/>
    </row>
    <row r="381" spans="1:5" x14ac:dyDescent="0.25">
      <c r="A381" s="6"/>
      <c r="E381" s="3"/>
    </row>
    <row r="382" spans="1:5" x14ac:dyDescent="0.25">
      <c r="A382" s="6"/>
      <c r="E382" s="3"/>
    </row>
    <row r="383" spans="1:5" x14ac:dyDescent="0.25">
      <c r="A383" s="6"/>
      <c r="E383" s="3"/>
    </row>
    <row r="384" spans="1:5" x14ac:dyDescent="0.25">
      <c r="A384" s="6"/>
      <c r="E384" s="3"/>
    </row>
    <row r="385" spans="1:5" x14ac:dyDescent="0.25">
      <c r="A385" s="6"/>
      <c r="E385" s="3"/>
    </row>
    <row r="386" spans="1:5" x14ac:dyDescent="0.25">
      <c r="A386" s="6"/>
      <c r="E386" s="3"/>
    </row>
    <row r="387" spans="1:5" x14ac:dyDescent="0.25">
      <c r="A387" s="6"/>
      <c r="E387" s="3"/>
    </row>
    <row r="388" spans="1:5" x14ac:dyDescent="0.25">
      <c r="A388" s="6"/>
      <c r="E388" s="3"/>
    </row>
    <row r="389" spans="1:5" x14ac:dyDescent="0.25">
      <c r="A389" s="6"/>
      <c r="E389" s="3"/>
    </row>
    <row r="390" spans="1:5" x14ac:dyDescent="0.25">
      <c r="A390" s="6"/>
      <c r="E390" s="3"/>
    </row>
    <row r="391" spans="1:5" x14ac:dyDescent="0.25">
      <c r="A391" s="6"/>
      <c r="E391" s="3"/>
    </row>
    <row r="392" spans="1:5" x14ac:dyDescent="0.25">
      <c r="A392" s="6"/>
      <c r="E392" s="3"/>
    </row>
    <row r="393" spans="1:5" x14ac:dyDescent="0.25">
      <c r="A393" s="6"/>
      <c r="E393" s="3"/>
    </row>
    <row r="394" spans="1:5" x14ac:dyDescent="0.25">
      <c r="A394" s="6"/>
      <c r="E394" s="3"/>
    </row>
    <row r="395" spans="1:5" x14ac:dyDescent="0.25">
      <c r="A395" s="6"/>
      <c r="E395" s="3"/>
    </row>
    <row r="396" spans="1:5" x14ac:dyDescent="0.25">
      <c r="A396" s="6"/>
      <c r="E396" s="3"/>
    </row>
    <row r="397" spans="1:5" x14ac:dyDescent="0.25">
      <c r="A397" s="6"/>
      <c r="E397" s="3"/>
    </row>
    <row r="398" spans="1:5" x14ac:dyDescent="0.25">
      <c r="A398" s="6"/>
      <c r="E398" s="3"/>
    </row>
    <row r="399" spans="1:5" x14ac:dyDescent="0.25">
      <c r="A399" s="6"/>
      <c r="E399" s="3"/>
    </row>
    <row r="400" spans="1:5" x14ac:dyDescent="0.25">
      <c r="A400" s="6"/>
      <c r="E400" s="3"/>
    </row>
    <row r="401" spans="1:5" x14ac:dyDescent="0.25">
      <c r="A401" s="6"/>
      <c r="E401" s="3"/>
    </row>
    <row r="402" spans="1:5" x14ac:dyDescent="0.25">
      <c r="A402" s="6"/>
      <c r="E402" s="3"/>
    </row>
    <row r="403" spans="1:5" x14ac:dyDescent="0.25">
      <c r="A403" s="6"/>
      <c r="E403" s="3"/>
    </row>
    <row r="404" spans="1:5" x14ac:dyDescent="0.25">
      <c r="A404" s="6"/>
      <c r="E404" s="3"/>
    </row>
    <row r="405" spans="1:5" x14ac:dyDescent="0.25">
      <c r="A405" s="6"/>
      <c r="E405" s="3"/>
    </row>
    <row r="406" spans="1:5" x14ac:dyDescent="0.25">
      <c r="A406" s="6"/>
      <c r="E406" s="3"/>
    </row>
    <row r="407" spans="1:5" x14ac:dyDescent="0.25">
      <c r="A407" s="6"/>
      <c r="E407" s="3"/>
    </row>
    <row r="408" spans="1:5" x14ac:dyDescent="0.25">
      <c r="A408" s="6"/>
      <c r="E408" s="3"/>
    </row>
    <row r="409" spans="1:5" x14ac:dyDescent="0.25">
      <c r="A409" s="6"/>
      <c r="E409" s="3"/>
    </row>
    <row r="410" spans="1:5" x14ac:dyDescent="0.25">
      <c r="A410" s="6"/>
      <c r="E410" s="3"/>
    </row>
    <row r="411" spans="1:5" x14ac:dyDescent="0.25">
      <c r="A411" s="6"/>
      <c r="E411" s="3"/>
    </row>
    <row r="412" spans="1:5" x14ac:dyDescent="0.25">
      <c r="A412" s="6"/>
      <c r="E412" s="3"/>
    </row>
    <row r="413" spans="1:5" x14ac:dyDescent="0.25">
      <c r="A413" s="6"/>
      <c r="E413" s="3"/>
    </row>
    <row r="414" spans="1:5" x14ac:dyDescent="0.25">
      <c r="A414" s="6"/>
      <c r="E414" s="3"/>
    </row>
    <row r="415" spans="1:5" x14ac:dyDescent="0.25">
      <c r="A415" s="6"/>
      <c r="E415" s="3"/>
    </row>
    <row r="416" spans="1:5" x14ac:dyDescent="0.25">
      <c r="A416" s="6"/>
      <c r="E416" s="3"/>
    </row>
    <row r="417" spans="1:5" x14ac:dyDescent="0.25">
      <c r="A417" s="6"/>
      <c r="E417" s="3"/>
    </row>
    <row r="418" spans="1:5" x14ac:dyDescent="0.25">
      <c r="A418" s="6"/>
      <c r="E418" s="3"/>
    </row>
    <row r="419" spans="1:5" x14ac:dyDescent="0.25">
      <c r="A419" s="6"/>
      <c r="E419" s="3"/>
    </row>
    <row r="420" spans="1:5" x14ac:dyDescent="0.25">
      <c r="A420" s="6"/>
      <c r="E420" s="3"/>
    </row>
    <row r="421" spans="1:5" x14ac:dyDescent="0.25">
      <c r="A421" s="6"/>
      <c r="E421" s="3"/>
    </row>
    <row r="422" spans="1:5" x14ac:dyDescent="0.25">
      <c r="A422" s="6"/>
      <c r="E422" s="3"/>
    </row>
    <row r="423" spans="1:5" x14ac:dyDescent="0.25">
      <c r="A423" s="6"/>
      <c r="E423" s="3"/>
    </row>
    <row r="424" spans="1:5" x14ac:dyDescent="0.25">
      <c r="A424" s="6"/>
      <c r="E424" s="3"/>
    </row>
    <row r="425" spans="1:5" x14ac:dyDescent="0.25">
      <c r="A425" s="6"/>
      <c r="E425" s="3"/>
    </row>
    <row r="426" spans="1:5" x14ac:dyDescent="0.25">
      <c r="A426" s="6"/>
      <c r="E426" s="3"/>
    </row>
    <row r="427" spans="1:5" x14ac:dyDescent="0.25">
      <c r="A427" s="6"/>
      <c r="E427" s="3"/>
    </row>
    <row r="428" spans="1:5" x14ac:dyDescent="0.25">
      <c r="A428" s="6"/>
      <c r="E428" s="3"/>
    </row>
    <row r="429" spans="1:5" x14ac:dyDescent="0.25">
      <c r="A429" s="6"/>
      <c r="E429" s="3"/>
    </row>
    <row r="430" spans="1:5" x14ac:dyDescent="0.25">
      <c r="A430" s="6"/>
      <c r="E430" s="3"/>
    </row>
    <row r="431" spans="1:5" x14ac:dyDescent="0.25">
      <c r="A431" s="6"/>
      <c r="E431" s="3"/>
    </row>
    <row r="432" spans="1:5" x14ac:dyDescent="0.25">
      <c r="A432" s="6"/>
      <c r="E432" s="3"/>
    </row>
    <row r="433" spans="1:5" x14ac:dyDescent="0.25">
      <c r="A433" s="6"/>
      <c r="E433" s="3"/>
    </row>
    <row r="434" spans="1:5" x14ac:dyDescent="0.25">
      <c r="A434" s="6"/>
      <c r="E434" s="3"/>
    </row>
    <row r="435" spans="1:5" x14ac:dyDescent="0.25">
      <c r="A435" s="6"/>
      <c r="E435" s="3"/>
    </row>
    <row r="436" spans="1:5" x14ac:dyDescent="0.25">
      <c r="A436" s="6"/>
      <c r="E436" s="3"/>
    </row>
    <row r="437" spans="1:5" x14ac:dyDescent="0.25">
      <c r="A437" s="6"/>
      <c r="E437" s="3"/>
    </row>
    <row r="438" spans="1:5" x14ac:dyDescent="0.25">
      <c r="A438" s="6"/>
      <c r="E438" s="3"/>
    </row>
    <row r="439" spans="1:5" x14ac:dyDescent="0.25">
      <c r="A439" s="6"/>
      <c r="E439" s="3"/>
    </row>
    <row r="440" spans="1:5" x14ac:dyDescent="0.25">
      <c r="A440" s="6"/>
      <c r="E440" s="3"/>
    </row>
    <row r="441" spans="1:5" x14ac:dyDescent="0.25">
      <c r="A441" s="6"/>
      <c r="E441" s="3"/>
    </row>
    <row r="442" spans="1:5" x14ac:dyDescent="0.25">
      <c r="A442" s="6"/>
      <c r="E442" s="3"/>
    </row>
    <row r="443" spans="1:5" x14ac:dyDescent="0.25">
      <c r="A443" s="6"/>
      <c r="E443" s="3"/>
    </row>
    <row r="444" spans="1:5" x14ac:dyDescent="0.25">
      <c r="A444" s="6"/>
      <c r="E444" s="3"/>
    </row>
    <row r="445" spans="1:5" x14ac:dyDescent="0.25">
      <c r="A445" s="6"/>
      <c r="E445" s="3"/>
    </row>
    <row r="446" spans="1:5" x14ac:dyDescent="0.25">
      <c r="A446" s="6"/>
      <c r="E446" s="3"/>
    </row>
    <row r="447" spans="1:5" x14ac:dyDescent="0.25">
      <c r="A447" s="6"/>
      <c r="E447" s="3"/>
    </row>
    <row r="448" spans="1:5" x14ac:dyDescent="0.25">
      <c r="A448" s="6"/>
      <c r="E448" s="3"/>
    </row>
    <row r="449" spans="1:5" x14ac:dyDescent="0.25">
      <c r="A449" s="6"/>
      <c r="E449" s="3"/>
    </row>
    <row r="450" spans="1:5" x14ac:dyDescent="0.25">
      <c r="A450" s="6"/>
      <c r="E450" s="3"/>
    </row>
    <row r="451" spans="1:5" x14ac:dyDescent="0.25">
      <c r="A451" s="6"/>
      <c r="E451" s="3"/>
    </row>
    <row r="452" spans="1:5" x14ac:dyDescent="0.25">
      <c r="A452" s="6"/>
      <c r="E452" s="3"/>
    </row>
    <row r="453" spans="1:5" x14ac:dyDescent="0.25">
      <c r="A453" s="6"/>
      <c r="E453" s="3"/>
    </row>
    <row r="454" spans="1:5" x14ac:dyDescent="0.25">
      <c r="A454" s="6"/>
      <c r="E454" s="3"/>
    </row>
    <row r="455" spans="1:5" x14ac:dyDescent="0.25">
      <c r="A455" s="6"/>
      <c r="E455" s="3"/>
    </row>
    <row r="456" spans="1:5" x14ac:dyDescent="0.25">
      <c r="A456" s="6"/>
      <c r="E456" s="3"/>
    </row>
    <row r="457" spans="1:5" x14ac:dyDescent="0.25">
      <c r="A457" s="6"/>
      <c r="E457" s="3"/>
    </row>
    <row r="458" spans="1:5" x14ac:dyDescent="0.25">
      <c r="A458" s="6"/>
      <c r="E458" s="3"/>
    </row>
    <row r="459" spans="1:5" x14ac:dyDescent="0.25">
      <c r="A459" s="6"/>
      <c r="E459" s="3"/>
    </row>
    <row r="460" spans="1:5" x14ac:dyDescent="0.25">
      <c r="A460" s="6"/>
      <c r="E460" s="3"/>
    </row>
    <row r="461" spans="1:5" x14ac:dyDescent="0.25">
      <c r="A461" s="6"/>
      <c r="E461" s="3"/>
    </row>
    <row r="462" spans="1:5" x14ac:dyDescent="0.25">
      <c r="A462" s="6"/>
      <c r="E462" s="3"/>
    </row>
    <row r="463" spans="1:5" x14ac:dyDescent="0.25">
      <c r="A463" s="6"/>
      <c r="E463" s="3"/>
    </row>
    <row r="464" spans="1:5" x14ac:dyDescent="0.25">
      <c r="A464" s="6"/>
      <c r="E464" s="3"/>
    </row>
    <row r="465" spans="1:5" x14ac:dyDescent="0.25">
      <c r="A465" s="6"/>
      <c r="E465" s="3"/>
    </row>
    <row r="466" spans="1:5" x14ac:dyDescent="0.25">
      <c r="A466" s="6"/>
      <c r="E466" s="3"/>
    </row>
    <row r="467" spans="1:5" x14ac:dyDescent="0.25">
      <c r="A467" s="6"/>
      <c r="E467" s="3"/>
    </row>
    <row r="468" spans="1:5" x14ac:dyDescent="0.25">
      <c r="A468" s="6"/>
      <c r="E468" s="3"/>
    </row>
    <row r="469" spans="1:5" x14ac:dyDescent="0.25">
      <c r="A469" s="6"/>
      <c r="E469" s="3"/>
    </row>
    <row r="470" spans="1:5" x14ac:dyDescent="0.25">
      <c r="A470" s="6"/>
      <c r="E470" s="3"/>
    </row>
    <row r="471" spans="1:5" x14ac:dyDescent="0.25">
      <c r="A471" s="6"/>
      <c r="E471" s="3"/>
    </row>
    <row r="472" spans="1:5" x14ac:dyDescent="0.25">
      <c r="A472" s="6"/>
      <c r="E472" s="3"/>
    </row>
    <row r="473" spans="1:5" x14ac:dyDescent="0.25">
      <c r="A473" s="6"/>
      <c r="E473" s="3"/>
    </row>
    <row r="474" spans="1:5" x14ac:dyDescent="0.25">
      <c r="A474" s="6"/>
      <c r="E474" s="3"/>
    </row>
    <row r="475" spans="1:5" x14ac:dyDescent="0.25">
      <c r="A475" s="6"/>
      <c r="E475" s="3"/>
    </row>
    <row r="476" spans="1:5" x14ac:dyDescent="0.25">
      <c r="A476" s="6"/>
      <c r="E476" s="3"/>
    </row>
    <row r="477" spans="1:5" x14ac:dyDescent="0.25">
      <c r="A477" s="6"/>
      <c r="E477" s="3"/>
    </row>
    <row r="478" spans="1:5" x14ac:dyDescent="0.25">
      <c r="A478" s="6"/>
      <c r="E478" s="3"/>
    </row>
    <row r="479" spans="1:5" x14ac:dyDescent="0.25">
      <c r="A479" s="6"/>
      <c r="E479" s="3"/>
    </row>
    <row r="480" spans="1:5" x14ac:dyDescent="0.25">
      <c r="A480" s="6"/>
      <c r="E480" s="3"/>
    </row>
    <row r="481" spans="1:5" x14ac:dyDescent="0.25">
      <c r="A481" s="6"/>
      <c r="E481" s="3"/>
    </row>
    <row r="482" spans="1:5" x14ac:dyDescent="0.25">
      <c r="A482" s="6"/>
      <c r="E482" s="3"/>
    </row>
    <row r="483" spans="1:5" x14ac:dyDescent="0.25">
      <c r="A483" s="6"/>
      <c r="E483" s="3"/>
    </row>
    <row r="484" spans="1:5" x14ac:dyDescent="0.25">
      <c r="A484" s="6"/>
      <c r="E484" s="3"/>
    </row>
    <row r="485" spans="1:5" x14ac:dyDescent="0.25">
      <c r="A485" s="6"/>
      <c r="E485" s="3"/>
    </row>
    <row r="486" spans="1:5" x14ac:dyDescent="0.25">
      <c r="A486" s="6"/>
      <c r="E486" s="3"/>
    </row>
    <row r="487" spans="1:5" x14ac:dyDescent="0.25">
      <c r="A487" s="6"/>
      <c r="E487" s="3"/>
    </row>
    <row r="488" spans="1:5" x14ac:dyDescent="0.25">
      <c r="A488" s="6"/>
      <c r="E488" s="3"/>
    </row>
    <row r="489" spans="1:5" x14ac:dyDescent="0.25">
      <c r="A489" s="6"/>
      <c r="E489" s="3"/>
    </row>
    <row r="490" spans="1:5" x14ac:dyDescent="0.25">
      <c r="A490" s="6"/>
      <c r="E490" s="3"/>
    </row>
    <row r="491" spans="1:5" x14ac:dyDescent="0.25">
      <c r="A491" s="6"/>
      <c r="E491" s="3"/>
    </row>
    <row r="492" spans="1:5" x14ac:dyDescent="0.25">
      <c r="A492" s="6"/>
      <c r="E492" s="3"/>
    </row>
    <row r="493" spans="1:5" x14ac:dyDescent="0.25">
      <c r="A493" s="6"/>
      <c r="E493" s="3"/>
    </row>
    <row r="494" spans="1:5" x14ac:dyDescent="0.25">
      <c r="A494" s="6"/>
      <c r="E494" s="3"/>
    </row>
    <row r="495" spans="1:5" x14ac:dyDescent="0.25">
      <c r="A495" s="6"/>
      <c r="E495" s="3"/>
    </row>
    <row r="496" spans="1:5" x14ac:dyDescent="0.25">
      <c r="A496" s="6"/>
      <c r="E496" s="3"/>
    </row>
    <row r="497" spans="1:5" x14ac:dyDescent="0.25">
      <c r="A497" s="6"/>
      <c r="E497" s="3"/>
    </row>
    <row r="498" spans="1:5" x14ac:dyDescent="0.25">
      <c r="A498" s="6"/>
      <c r="E498" s="3"/>
    </row>
    <row r="499" spans="1:5" x14ac:dyDescent="0.25">
      <c r="A499" s="6"/>
      <c r="E499" s="3"/>
    </row>
    <row r="500" spans="1:5" x14ac:dyDescent="0.25">
      <c r="A500" s="6"/>
      <c r="E500" s="3"/>
    </row>
    <row r="501" spans="1:5" x14ac:dyDescent="0.25">
      <c r="A501" s="6"/>
      <c r="E501" s="3"/>
    </row>
    <row r="502" spans="1:5" x14ac:dyDescent="0.25">
      <c r="A502" s="6"/>
      <c r="E502" s="3"/>
    </row>
    <row r="503" spans="1:5" x14ac:dyDescent="0.25">
      <c r="A503" s="6"/>
      <c r="E503" s="3"/>
    </row>
    <row r="504" spans="1:5" x14ac:dyDescent="0.25">
      <c r="A504" s="6"/>
      <c r="E504" s="3"/>
    </row>
    <row r="505" spans="1:5" x14ac:dyDescent="0.25">
      <c r="A505" s="6"/>
      <c r="E505" s="3"/>
    </row>
    <row r="506" spans="1:5" x14ac:dyDescent="0.25">
      <c r="A506" s="6"/>
      <c r="E506" s="3"/>
    </row>
  </sheetData>
  <mergeCells count="4">
    <mergeCell ref="N8:P8"/>
    <mergeCell ref="N15:P15"/>
    <mergeCell ref="N23:P23"/>
    <mergeCell ref="A1:G2"/>
  </mergeCells>
  <conditionalFormatting sqref="B6:B506">
    <cfRule type="cellIs" dxfId="3" priority="1" operator="equal">
      <formula>"Despesa"</formula>
    </cfRule>
    <cfRule type="cellIs" dxfId="2" priority="2" operator="equal">
      <formula>"Receita"</formula>
    </cfRule>
  </conditionalFormatting>
  <dataValidations count="1">
    <dataValidation type="list" allowBlank="1" showInputMessage="1" showErrorMessage="1" sqref="C6:C508" xr:uid="{576F6F0C-968D-4246-B4BD-07CE1E925B49}">
      <formula1>INDIRECT(B6)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A8865EB-C325-408C-ADCC-48AA198BBC42}">
          <x14:formula1>
            <xm:f>Categoria!$A$2:$A$3</xm:f>
          </x14:formula1>
          <xm:sqref>B6:B506</xm:sqref>
        </x14:dataValidation>
        <x14:dataValidation type="list" allowBlank="1" showInputMessage="1" showErrorMessage="1" xr:uid="{55047180-D08B-4D8E-B269-E6DFB23B186F}">
          <x14:formula1>
            <xm:f>Categoria!$F$2:$F$6</xm:f>
          </x14:formula1>
          <xm:sqref>F6:F512</xm:sqref>
        </x14:dataValidation>
        <x14:dataValidation type="list" allowBlank="1" showInputMessage="1" showErrorMessage="1" xr:uid="{0C0C13FF-9B26-4925-835A-F0A548DF5652}">
          <x14:formula1>
            <xm:f>Categoria!$H$2:$H$3</xm:f>
          </x14:formula1>
          <xm:sqref>G6:G506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A711-1B9F-4AF3-8370-1866DCBE9F36}">
  <dimension ref="A1:M505"/>
  <sheetViews>
    <sheetView tabSelected="1" workbookViewId="0">
      <selection sqref="A1:G2"/>
    </sheetView>
  </sheetViews>
  <sheetFormatPr defaultRowHeight="15" x14ac:dyDescent="0.25"/>
  <cols>
    <col min="1" max="1" width="13.42578125" bestFit="1" customWidth="1"/>
    <col min="2" max="2" width="13.140625" customWidth="1"/>
    <col min="3" max="3" width="12.85546875" customWidth="1"/>
    <col min="4" max="4" width="11" customWidth="1"/>
    <col min="5" max="5" width="20.140625" bestFit="1" customWidth="1"/>
    <col min="12" max="12" width="11.7109375" bestFit="1" customWidth="1"/>
  </cols>
  <sheetData>
    <row r="1" spans="1:13" x14ac:dyDescent="0.25">
      <c r="A1" s="12" t="s">
        <v>36</v>
      </c>
      <c r="B1" s="12"/>
      <c r="C1" s="12"/>
      <c r="D1" s="12"/>
      <c r="E1" s="12"/>
      <c r="F1" s="12"/>
      <c r="G1" s="12"/>
    </row>
    <row r="2" spans="1:13" x14ac:dyDescent="0.25">
      <c r="A2" s="12"/>
      <c r="B2" s="12"/>
      <c r="C2" s="12"/>
      <c r="D2" s="12"/>
      <c r="E2" s="12"/>
      <c r="F2" s="12"/>
      <c r="G2" s="12"/>
    </row>
    <row r="5" spans="1:13" ht="15" customHeight="1" x14ac:dyDescent="0.25">
      <c r="A5" s="5" t="s">
        <v>7</v>
      </c>
      <c r="B5" s="5" t="s">
        <v>37</v>
      </c>
      <c r="C5" s="5" t="s">
        <v>38</v>
      </c>
      <c r="D5" s="9" t="s">
        <v>39</v>
      </c>
      <c r="E5" s="5" t="s">
        <v>30</v>
      </c>
    </row>
    <row r="6" spans="1:13" x14ac:dyDescent="0.25">
      <c r="A6" t="s">
        <v>18</v>
      </c>
      <c r="C6">
        <f>IF(A6="","",SUMIFS(Lançamentos!$E:$E,Lançamentos!$C:$C,A6,Lançamentos!$B:$B,"Despesa"))</f>
        <v>0</v>
      </c>
      <c r="D6">
        <f t="shared" ref="D6:D69" si="0">IF(A6="","",B6-C6)</f>
        <v>0</v>
      </c>
      <c r="E6" t="str">
        <f t="shared" ref="E6:E69" si="1">IF(A6="","",IF(C6&gt;B6,"Acima do Orçamento","Dentro do Orçamento"))</f>
        <v>Dentro do Orçamento</v>
      </c>
      <c r="K6" s="13" t="s">
        <v>40</v>
      </c>
      <c r="L6" s="13"/>
      <c r="M6" s="13"/>
    </row>
    <row r="7" spans="1:13" x14ac:dyDescent="0.25">
      <c r="A7" t="s">
        <v>19</v>
      </c>
      <c r="B7">
        <v>700</v>
      </c>
      <c r="C7">
        <f>IF(A7="","",SUMIFS(Lançamentos!$E:$E,Lançamentos!$C:$C,A7,Lançamentos!$B:$B,"Despesa"))</f>
        <v>350</v>
      </c>
      <c r="D7">
        <f t="shared" si="0"/>
        <v>350</v>
      </c>
      <c r="E7" t="str">
        <f t="shared" si="1"/>
        <v>Dentro do Orçamento</v>
      </c>
      <c r="K7" s="7"/>
      <c r="L7" s="10">
        <f>SUM(B6:B505)</f>
        <v>1030</v>
      </c>
      <c r="M7" s="7"/>
    </row>
    <row r="8" spans="1:13" x14ac:dyDescent="0.25">
      <c r="A8" t="s">
        <v>20</v>
      </c>
      <c r="B8">
        <v>30</v>
      </c>
      <c r="C8">
        <f>IF(A8="","",SUMIFS(Lançamentos!$E:$E,Lançamentos!$C:$C,A8,Lançamentos!$B:$B,"Despesa"))</f>
        <v>20</v>
      </c>
      <c r="D8">
        <f t="shared" si="0"/>
        <v>10</v>
      </c>
      <c r="E8" t="str">
        <f t="shared" si="1"/>
        <v>Dentro do Orçamento</v>
      </c>
    </row>
    <row r="9" spans="1:13" x14ac:dyDescent="0.25">
      <c r="A9" t="s">
        <v>21</v>
      </c>
      <c r="C9">
        <f>IF(A9="","",SUMIFS(Lançamentos!$E:$E,Lançamentos!$C:$C,A9,Lançamentos!$B:$B,"Despesa"))</f>
        <v>0</v>
      </c>
      <c r="D9">
        <f t="shared" si="0"/>
        <v>0</v>
      </c>
      <c r="E9" t="str">
        <f t="shared" si="1"/>
        <v>Dentro do Orçamento</v>
      </c>
    </row>
    <row r="10" spans="1:13" x14ac:dyDescent="0.25">
      <c r="A10" t="s">
        <v>22</v>
      </c>
      <c r="C10">
        <f>IF(A10="","",SUMIFS(Lançamentos!$E:$E,Lançamentos!$C:$C,A10,Lançamentos!$B:$B,"Despesa"))</f>
        <v>0</v>
      </c>
      <c r="D10">
        <f t="shared" si="0"/>
        <v>0</v>
      </c>
      <c r="E10" t="str">
        <f t="shared" si="1"/>
        <v>Dentro do Orçamento</v>
      </c>
    </row>
    <row r="11" spans="1:13" x14ac:dyDescent="0.25">
      <c r="A11" t="s">
        <v>23</v>
      </c>
      <c r="B11">
        <v>250</v>
      </c>
      <c r="C11">
        <v>300</v>
      </c>
      <c r="D11">
        <f t="shared" si="0"/>
        <v>-50</v>
      </c>
      <c r="E11" t="str">
        <f t="shared" si="1"/>
        <v>Acima do Orçamento</v>
      </c>
    </row>
    <row r="12" spans="1:13" x14ac:dyDescent="0.25">
      <c r="A12" t="s">
        <v>46</v>
      </c>
      <c r="B12">
        <v>50</v>
      </c>
      <c r="C12">
        <f>IF(A12="","",SUMIFS(Lançamentos!$E:$E,Lançamentos!$C:$C,A12,Lançamentos!$B:$B,"Despesa"))</f>
        <v>0</v>
      </c>
      <c r="D12">
        <f t="shared" si="0"/>
        <v>50</v>
      </c>
      <c r="E12" t="str">
        <f t="shared" si="1"/>
        <v>Dentro do Orçamento</v>
      </c>
      <c r="K12" s="13" t="s">
        <v>41</v>
      </c>
      <c r="L12" s="13"/>
      <c r="M12" s="13"/>
    </row>
    <row r="13" spans="1:13" x14ac:dyDescent="0.25">
      <c r="A13" t="s">
        <v>24</v>
      </c>
      <c r="C13">
        <f>IF(A13="","",SUMIFS(Lançamentos!$E:$E,Lançamentos!$C:$C,A13,Lançamentos!$B:$B,"Despesa"))</f>
        <v>75</v>
      </c>
      <c r="D13">
        <f t="shared" si="0"/>
        <v>-75</v>
      </c>
      <c r="E13" t="str">
        <f t="shared" si="1"/>
        <v>Acima do Orçamento</v>
      </c>
      <c r="K13" s="7"/>
      <c r="L13" s="10">
        <f>SUM(C6:C505)</f>
        <v>745</v>
      </c>
      <c r="M13" s="7"/>
    </row>
    <row r="14" spans="1:13" x14ac:dyDescent="0.25">
      <c r="A14" t="s">
        <v>15</v>
      </c>
      <c r="C14">
        <f>IF(A14="","",SUMIFS(Lançamentos!$E:$E,Lançamentos!$C:$C,A14,Lançamentos!$B:$B,"Despesa"))</f>
        <v>0</v>
      </c>
      <c r="D14">
        <f t="shared" si="0"/>
        <v>0</v>
      </c>
      <c r="E14" t="str">
        <f t="shared" si="1"/>
        <v>Dentro do Orçamento</v>
      </c>
    </row>
    <row r="15" spans="1:13" x14ac:dyDescent="0.25">
      <c r="A15" t="s">
        <v>17</v>
      </c>
      <c r="C15">
        <f>IF(A15="","",SUMIFS(Lançamentos!$E:$E,Lançamentos!$C:$C,A15,Lançamentos!$B:$B,"Despesa"))</f>
        <v>0</v>
      </c>
      <c r="D15">
        <f t="shared" si="0"/>
        <v>0</v>
      </c>
      <c r="E15" t="str">
        <f t="shared" si="1"/>
        <v>Dentro do Orçamento</v>
      </c>
    </row>
    <row r="16" spans="1:13" x14ac:dyDescent="0.25">
      <c r="C16" t="str">
        <f>IF(A16="","",SUMIFS(Lançamentos!$E:$E,Lançamentos!$C:$C,A16,Lançamentos!$B:$B,"Despesa"))</f>
        <v/>
      </c>
      <c r="D16" t="str">
        <f t="shared" si="0"/>
        <v/>
      </c>
      <c r="E16" t="str">
        <f t="shared" si="1"/>
        <v/>
      </c>
    </row>
    <row r="17" spans="3:13" x14ac:dyDescent="0.25">
      <c r="C17" t="str">
        <f>IF(A17="","",SUMIFS(Lançamentos!$E:$E,Lançamentos!$C:$C,A17,Lançamentos!$B:$B,"Despesa"))</f>
        <v/>
      </c>
      <c r="D17" t="str">
        <f t="shared" si="0"/>
        <v/>
      </c>
      <c r="E17" t="str">
        <f t="shared" si="1"/>
        <v/>
      </c>
    </row>
    <row r="18" spans="3:13" x14ac:dyDescent="0.25">
      <c r="C18" t="str">
        <f>IF(A18="","",SUMIFS(Lançamentos!$E:$E,Lançamentos!$C:$C,A18,Lançamentos!$B:$B,"Despesa"))</f>
        <v/>
      </c>
      <c r="D18" t="str">
        <f t="shared" si="0"/>
        <v/>
      </c>
      <c r="E18" t="str">
        <f t="shared" si="1"/>
        <v/>
      </c>
      <c r="K18" s="13" t="s">
        <v>42</v>
      </c>
      <c r="L18" s="13"/>
      <c r="M18" s="13"/>
    </row>
    <row r="19" spans="3:13" x14ac:dyDescent="0.25">
      <c r="C19" t="str">
        <f>IF(A19="","",SUMIFS(Lançamentos!$E:$E,Lançamentos!$C:$C,A19,Lançamentos!$B:$B,"Despesa"))</f>
        <v/>
      </c>
      <c r="D19" t="str">
        <f t="shared" si="0"/>
        <v/>
      </c>
      <c r="E19" t="str">
        <f t="shared" si="1"/>
        <v/>
      </c>
      <c r="K19" s="7"/>
      <c r="L19" s="10">
        <f>L7-L13</f>
        <v>285</v>
      </c>
      <c r="M19" s="7"/>
    </row>
    <row r="20" spans="3:13" x14ac:dyDescent="0.25">
      <c r="C20" t="str">
        <f>IF(A20="","",SUMIFS(Lançamentos!$E:$E,Lançamentos!$C:$C,A20,Lançamentos!$B:$B,"Despesa"))</f>
        <v/>
      </c>
      <c r="D20" t="str">
        <f t="shared" si="0"/>
        <v/>
      </c>
      <c r="E20" t="str">
        <f t="shared" si="1"/>
        <v/>
      </c>
    </row>
    <row r="21" spans="3:13" x14ac:dyDescent="0.25">
      <c r="C21" t="str">
        <f>IF(A21="","",SUMIFS(Lançamentos!$E:$E,Lançamentos!$C:$C,A21,Lançamentos!$B:$B,"Despesa"))</f>
        <v/>
      </c>
      <c r="D21" t="str">
        <f t="shared" si="0"/>
        <v/>
      </c>
      <c r="E21" t="str">
        <f t="shared" si="1"/>
        <v/>
      </c>
    </row>
    <row r="22" spans="3:13" x14ac:dyDescent="0.25">
      <c r="C22" t="str">
        <f>IF(A22="","",SUMIFS(Lançamentos!$E:$E,Lançamentos!$C:$C,A22,Lançamentos!$B:$B,"Despesa"))</f>
        <v/>
      </c>
      <c r="D22" t="str">
        <f t="shared" si="0"/>
        <v/>
      </c>
      <c r="E22" t="str">
        <f t="shared" si="1"/>
        <v/>
      </c>
    </row>
    <row r="23" spans="3:13" x14ac:dyDescent="0.25">
      <c r="C23" t="str">
        <f>IF(A23="","",SUMIFS(Lançamentos!$E:$E,Lançamentos!$C:$C,A23,Lançamentos!$B:$B,"Despesa"))</f>
        <v/>
      </c>
      <c r="D23" t="str">
        <f t="shared" si="0"/>
        <v/>
      </c>
      <c r="E23" t="str">
        <f t="shared" si="1"/>
        <v/>
      </c>
    </row>
    <row r="24" spans="3:13" x14ac:dyDescent="0.25">
      <c r="C24" t="str">
        <f>IF(A24="","",SUMIFS(Lançamentos!$E:$E,Lançamentos!$C:$C,A24,Lançamentos!$B:$B,"Despesa"))</f>
        <v/>
      </c>
      <c r="D24" t="str">
        <f t="shared" si="0"/>
        <v/>
      </c>
      <c r="E24" t="str">
        <f t="shared" si="1"/>
        <v/>
      </c>
      <c r="K24" s="13" t="s">
        <v>43</v>
      </c>
      <c r="L24" s="13"/>
      <c r="M24" s="13"/>
    </row>
    <row r="25" spans="3:13" x14ac:dyDescent="0.25">
      <c r="C25" t="str">
        <f>IF(A25="","",SUMIFS(Lançamentos!$E:$E,Lançamentos!$C:$C,A25,Lançamentos!$B:$B,"Despesa"))</f>
        <v/>
      </c>
      <c r="D25" t="str">
        <f t="shared" si="0"/>
        <v/>
      </c>
      <c r="E25" t="str">
        <f t="shared" si="1"/>
        <v/>
      </c>
      <c r="K25" s="7"/>
      <c r="L25" s="11">
        <f>L13/L7</f>
        <v>0.72330097087378642</v>
      </c>
      <c r="M25" s="7"/>
    </row>
    <row r="26" spans="3:13" x14ac:dyDescent="0.25">
      <c r="C26" t="str">
        <f>IF(A26="","",SUMIFS(Lançamentos!$E:$E,Lançamentos!$C:$C,A26,Lançamentos!$B:$B,"Despesa"))</f>
        <v/>
      </c>
      <c r="D26" t="str">
        <f t="shared" si="0"/>
        <v/>
      </c>
      <c r="E26" t="str">
        <f t="shared" si="1"/>
        <v/>
      </c>
    </row>
    <row r="27" spans="3:13" x14ac:dyDescent="0.25">
      <c r="C27" t="str">
        <f>IF(A27="","",SUMIFS(Lançamentos!$E:$E,Lançamentos!$C:$C,A27,Lançamentos!$B:$B,"Despesa"))</f>
        <v/>
      </c>
      <c r="D27" t="str">
        <f t="shared" si="0"/>
        <v/>
      </c>
      <c r="E27" t="str">
        <f t="shared" si="1"/>
        <v/>
      </c>
    </row>
    <row r="28" spans="3:13" x14ac:dyDescent="0.25">
      <c r="C28" t="str">
        <f>IF(A28="","",SUMIFS(Lançamentos!$E:$E,Lançamentos!$C:$C,A28,Lançamentos!$B:$B,"Despesa"))</f>
        <v/>
      </c>
      <c r="D28" t="str">
        <f t="shared" si="0"/>
        <v/>
      </c>
      <c r="E28" t="str">
        <f t="shared" si="1"/>
        <v/>
      </c>
    </row>
    <row r="29" spans="3:13" x14ac:dyDescent="0.25">
      <c r="C29" t="str">
        <f>IF(A29="","",SUMIFS(Lançamentos!$E:$E,Lançamentos!$C:$C,A29,Lançamentos!$B:$B,"Despesa"))</f>
        <v/>
      </c>
      <c r="D29" t="str">
        <f t="shared" si="0"/>
        <v/>
      </c>
      <c r="E29" t="str">
        <f t="shared" si="1"/>
        <v/>
      </c>
    </row>
    <row r="30" spans="3:13" x14ac:dyDescent="0.25">
      <c r="C30" t="str">
        <f>IF(A30="","",SUMIFS(Lançamentos!$E:$E,Lançamentos!$C:$C,A30,Lançamentos!$B:$B,"Despesa"))</f>
        <v/>
      </c>
      <c r="D30" t="str">
        <f t="shared" si="0"/>
        <v/>
      </c>
      <c r="E30" t="str">
        <f t="shared" si="1"/>
        <v/>
      </c>
    </row>
    <row r="31" spans="3:13" x14ac:dyDescent="0.25">
      <c r="C31" t="str">
        <f>IF(A31="","",SUMIFS(Lançamentos!$E:$E,Lançamentos!$C:$C,A31,Lançamentos!$B:$B,"Despesa"))</f>
        <v/>
      </c>
      <c r="D31" t="str">
        <f t="shared" si="0"/>
        <v/>
      </c>
      <c r="E31" t="str">
        <f t="shared" si="1"/>
        <v/>
      </c>
    </row>
    <row r="32" spans="3:13" x14ac:dyDescent="0.25">
      <c r="C32" t="str">
        <f>IF(A32="","",SUMIFS(Lançamentos!$E:$E,Lançamentos!$C:$C,A32,Lançamentos!$B:$B,"Despesa"))</f>
        <v/>
      </c>
      <c r="D32" t="str">
        <f t="shared" si="0"/>
        <v/>
      </c>
      <c r="E32" t="str">
        <f t="shared" si="1"/>
        <v/>
      </c>
    </row>
    <row r="33" spans="3:5" x14ac:dyDescent="0.25">
      <c r="C33" t="str">
        <f>IF(A33="","",SUMIFS(Lançamentos!$E:$E,Lançamentos!$C:$C,A33,Lançamentos!$B:$B,"Despesa"))</f>
        <v/>
      </c>
      <c r="D33" t="str">
        <f t="shared" si="0"/>
        <v/>
      </c>
      <c r="E33" t="str">
        <f t="shared" si="1"/>
        <v/>
      </c>
    </row>
    <row r="34" spans="3:5" x14ac:dyDescent="0.25">
      <c r="C34" t="str">
        <f>IF(A34="","",SUMIFS(Lançamentos!$E:$E,Lançamentos!$C:$C,A34,Lançamentos!$B:$B,"Despesa"))</f>
        <v/>
      </c>
      <c r="D34" t="str">
        <f t="shared" si="0"/>
        <v/>
      </c>
      <c r="E34" t="str">
        <f t="shared" si="1"/>
        <v/>
      </c>
    </row>
    <row r="35" spans="3:5" x14ac:dyDescent="0.25">
      <c r="C35" t="str">
        <f>IF(A35="","",SUMIFS(Lançamentos!$E:$E,Lançamentos!$C:$C,A35,Lançamentos!$B:$B,"Despesa"))</f>
        <v/>
      </c>
      <c r="D35" t="str">
        <f t="shared" si="0"/>
        <v/>
      </c>
      <c r="E35" t="str">
        <f t="shared" si="1"/>
        <v/>
      </c>
    </row>
    <row r="36" spans="3:5" x14ac:dyDescent="0.25">
      <c r="C36" t="str">
        <f>IF(A36="","",SUMIFS(Lançamentos!$E:$E,Lançamentos!$C:$C,A36,Lançamentos!$B:$B,"Despesa"))</f>
        <v/>
      </c>
      <c r="D36" t="str">
        <f t="shared" si="0"/>
        <v/>
      </c>
      <c r="E36" t="str">
        <f t="shared" si="1"/>
        <v/>
      </c>
    </row>
    <row r="37" spans="3:5" x14ac:dyDescent="0.25">
      <c r="C37" t="str">
        <f>IF(A37="","",SUMIFS(Lançamentos!$E:$E,Lançamentos!$C:$C,A37,Lançamentos!$B:$B,"Despesa"))</f>
        <v/>
      </c>
      <c r="D37" t="str">
        <f t="shared" si="0"/>
        <v/>
      </c>
      <c r="E37" t="str">
        <f t="shared" si="1"/>
        <v/>
      </c>
    </row>
    <row r="38" spans="3:5" x14ac:dyDescent="0.25">
      <c r="C38" t="str">
        <f>IF(A38="","",SUMIFS(Lançamentos!$E:$E,Lançamentos!$C:$C,A38,Lançamentos!$B:$B,"Despesa"))</f>
        <v/>
      </c>
      <c r="D38" t="str">
        <f t="shared" si="0"/>
        <v/>
      </c>
      <c r="E38" t="str">
        <f t="shared" si="1"/>
        <v/>
      </c>
    </row>
    <row r="39" spans="3:5" x14ac:dyDescent="0.25">
      <c r="C39" t="str">
        <f>IF(A39="","",SUMIFS(Lançamentos!$E:$E,Lançamentos!$C:$C,A39,Lançamentos!$B:$B,"Despesa"))</f>
        <v/>
      </c>
      <c r="D39" t="str">
        <f t="shared" si="0"/>
        <v/>
      </c>
      <c r="E39" t="str">
        <f t="shared" si="1"/>
        <v/>
      </c>
    </row>
    <row r="40" spans="3:5" x14ac:dyDescent="0.25">
      <c r="C40" t="str">
        <f>IF(A40="","",SUMIFS(Lançamentos!$E:$E,Lançamentos!$C:$C,A40,Lançamentos!$B:$B,"Despesa"))</f>
        <v/>
      </c>
      <c r="D40" t="str">
        <f t="shared" si="0"/>
        <v/>
      </c>
      <c r="E40" t="str">
        <f t="shared" si="1"/>
        <v/>
      </c>
    </row>
    <row r="41" spans="3:5" x14ac:dyDescent="0.25">
      <c r="C41" t="str">
        <f>IF(A41="","",SUMIFS(Lançamentos!$E:$E,Lançamentos!$C:$C,A41,Lançamentos!$B:$B,"Despesa"))</f>
        <v/>
      </c>
      <c r="D41" t="str">
        <f t="shared" si="0"/>
        <v/>
      </c>
      <c r="E41" t="str">
        <f t="shared" si="1"/>
        <v/>
      </c>
    </row>
    <row r="42" spans="3:5" x14ac:dyDescent="0.25">
      <c r="C42" t="str">
        <f>IF(A42="","",SUMIFS(Lançamentos!$E:$E,Lançamentos!$C:$C,A42,Lançamentos!$B:$B,"Despesa"))</f>
        <v/>
      </c>
      <c r="D42" t="str">
        <f t="shared" si="0"/>
        <v/>
      </c>
      <c r="E42" t="str">
        <f t="shared" si="1"/>
        <v/>
      </c>
    </row>
    <row r="43" spans="3:5" x14ac:dyDescent="0.25">
      <c r="C43" t="str">
        <f>IF(A43="","",SUMIFS(Lançamentos!$E:$E,Lançamentos!$C:$C,A43,Lançamentos!$B:$B,"Despesa"))</f>
        <v/>
      </c>
      <c r="D43" t="str">
        <f t="shared" si="0"/>
        <v/>
      </c>
      <c r="E43" t="str">
        <f t="shared" si="1"/>
        <v/>
      </c>
    </row>
    <row r="44" spans="3:5" x14ac:dyDescent="0.25">
      <c r="C44" t="str">
        <f>IF(A44="","",SUMIFS(Lançamentos!$E:$E,Lançamentos!$C:$C,A44,Lançamentos!$B:$B,"Despesa"))</f>
        <v/>
      </c>
      <c r="D44" t="str">
        <f t="shared" si="0"/>
        <v/>
      </c>
      <c r="E44" t="str">
        <f t="shared" si="1"/>
        <v/>
      </c>
    </row>
    <row r="45" spans="3:5" x14ac:dyDescent="0.25">
      <c r="C45" t="str">
        <f>IF(A45="","",SUMIFS(Lançamentos!$E:$E,Lançamentos!$C:$C,A45,Lançamentos!$B:$B,"Despesa"))</f>
        <v/>
      </c>
      <c r="D45" t="str">
        <f t="shared" si="0"/>
        <v/>
      </c>
      <c r="E45" t="str">
        <f t="shared" si="1"/>
        <v/>
      </c>
    </row>
    <row r="46" spans="3:5" x14ac:dyDescent="0.25">
      <c r="C46" t="str">
        <f>IF(A46="","",SUMIFS(Lançamentos!$E:$E,Lançamentos!$C:$C,A46,Lançamentos!$B:$B,"Despesa"))</f>
        <v/>
      </c>
      <c r="D46" t="str">
        <f t="shared" si="0"/>
        <v/>
      </c>
      <c r="E46" t="str">
        <f t="shared" si="1"/>
        <v/>
      </c>
    </row>
    <row r="47" spans="3:5" x14ac:dyDescent="0.25">
      <c r="C47" t="str">
        <f>IF(A47="","",SUMIFS(Lançamentos!$E:$E,Lançamentos!$C:$C,A47,Lançamentos!$B:$B,"Despesa"))</f>
        <v/>
      </c>
      <c r="D47" t="str">
        <f t="shared" si="0"/>
        <v/>
      </c>
      <c r="E47" t="str">
        <f t="shared" si="1"/>
        <v/>
      </c>
    </row>
    <row r="48" spans="3:5" x14ac:dyDescent="0.25">
      <c r="C48" t="str">
        <f>IF(A48="","",SUMIFS(Lançamentos!$E:$E,Lançamentos!$C:$C,A48,Lançamentos!$B:$B,"Despesa"))</f>
        <v/>
      </c>
      <c r="D48" t="str">
        <f t="shared" si="0"/>
        <v/>
      </c>
      <c r="E48" t="str">
        <f t="shared" si="1"/>
        <v/>
      </c>
    </row>
    <row r="49" spans="3:5" x14ac:dyDescent="0.25">
      <c r="C49" t="str">
        <f>IF(A49="","",SUMIFS(Lançamentos!$E:$E,Lançamentos!$C:$C,A49,Lançamentos!$B:$B,"Despesa"))</f>
        <v/>
      </c>
      <c r="D49" t="str">
        <f t="shared" si="0"/>
        <v/>
      </c>
      <c r="E49" t="str">
        <f t="shared" si="1"/>
        <v/>
      </c>
    </row>
    <row r="50" spans="3:5" x14ac:dyDescent="0.25">
      <c r="C50" t="str">
        <f>IF(A50="","",SUMIFS(Lançamentos!$E:$E,Lançamentos!$C:$C,A50,Lançamentos!$B:$B,"Despesa"))</f>
        <v/>
      </c>
      <c r="D50" t="str">
        <f t="shared" si="0"/>
        <v/>
      </c>
      <c r="E50" t="str">
        <f t="shared" si="1"/>
        <v/>
      </c>
    </row>
    <row r="51" spans="3:5" x14ac:dyDescent="0.25">
      <c r="C51" t="str">
        <f>IF(A51="","",SUMIFS(Lançamentos!$E:$E,Lançamentos!$C:$C,A51,Lançamentos!$B:$B,"Despesa"))</f>
        <v/>
      </c>
      <c r="D51" t="str">
        <f t="shared" si="0"/>
        <v/>
      </c>
      <c r="E51" t="str">
        <f t="shared" si="1"/>
        <v/>
      </c>
    </row>
    <row r="52" spans="3:5" x14ac:dyDescent="0.25">
      <c r="C52" t="str">
        <f>IF(A52="","",SUMIFS(Lançamentos!$E:$E,Lançamentos!$C:$C,A52,Lançamentos!$B:$B,"Despesa"))</f>
        <v/>
      </c>
      <c r="D52" t="str">
        <f t="shared" si="0"/>
        <v/>
      </c>
      <c r="E52" t="str">
        <f t="shared" si="1"/>
        <v/>
      </c>
    </row>
    <row r="53" spans="3:5" x14ac:dyDescent="0.25">
      <c r="C53" t="str">
        <f>IF(A53="","",SUMIFS(Lançamentos!$E:$E,Lançamentos!$C:$C,A53,Lançamentos!$B:$B,"Despesa"))</f>
        <v/>
      </c>
      <c r="D53" t="str">
        <f t="shared" si="0"/>
        <v/>
      </c>
      <c r="E53" t="str">
        <f t="shared" si="1"/>
        <v/>
      </c>
    </row>
    <row r="54" spans="3:5" x14ac:dyDescent="0.25">
      <c r="C54" t="str">
        <f>IF(A54="","",SUMIFS(Lançamentos!$E:$E,Lançamentos!$C:$C,A54,Lançamentos!$B:$B,"Despesa"))</f>
        <v/>
      </c>
      <c r="D54" t="str">
        <f t="shared" si="0"/>
        <v/>
      </c>
      <c r="E54" t="str">
        <f t="shared" si="1"/>
        <v/>
      </c>
    </row>
    <row r="55" spans="3:5" x14ac:dyDescent="0.25">
      <c r="C55" t="str">
        <f>IF(A55="","",SUMIFS(Lançamentos!$E:$E,Lançamentos!$C:$C,A55,Lançamentos!$B:$B,"Despesa"))</f>
        <v/>
      </c>
      <c r="D55" t="str">
        <f t="shared" si="0"/>
        <v/>
      </c>
      <c r="E55" t="str">
        <f t="shared" si="1"/>
        <v/>
      </c>
    </row>
    <row r="56" spans="3:5" x14ac:dyDescent="0.25">
      <c r="C56" t="str">
        <f>IF(A56="","",SUMIFS(Lançamentos!$E:$E,Lançamentos!$C:$C,A56,Lançamentos!$B:$B,"Despesa"))</f>
        <v/>
      </c>
      <c r="D56" t="str">
        <f t="shared" si="0"/>
        <v/>
      </c>
      <c r="E56" t="str">
        <f t="shared" si="1"/>
        <v/>
      </c>
    </row>
    <row r="57" spans="3:5" x14ac:dyDescent="0.25">
      <c r="C57" t="str">
        <f>IF(A57="","",SUMIFS(Lançamentos!$E:$E,Lançamentos!$C:$C,A57,Lançamentos!$B:$B,"Despesa"))</f>
        <v/>
      </c>
      <c r="D57" t="str">
        <f t="shared" si="0"/>
        <v/>
      </c>
      <c r="E57" t="str">
        <f t="shared" si="1"/>
        <v/>
      </c>
    </row>
    <row r="58" spans="3:5" x14ac:dyDescent="0.25">
      <c r="C58" t="str">
        <f>IF(A58="","",SUMIFS(Lançamentos!$E:$E,Lançamentos!$C:$C,A58,Lançamentos!$B:$B,"Despesa"))</f>
        <v/>
      </c>
      <c r="D58" t="str">
        <f t="shared" si="0"/>
        <v/>
      </c>
      <c r="E58" t="str">
        <f t="shared" si="1"/>
        <v/>
      </c>
    </row>
    <row r="59" spans="3:5" x14ac:dyDescent="0.25">
      <c r="C59" t="str">
        <f>IF(A59="","",SUMIFS(Lançamentos!$E:$E,Lançamentos!$C:$C,A59,Lançamentos!$B:$B,"Despesa"))</f>
        <v/>
      </c>
      <c r="D59" t="str">
        <f t="shared" si="0"/>
        <v/>
      </c>
      <c r="E59" t="str">
        <f t="shared" si="1"/>
        <v/>
      </c>
    </row>
    <row r="60" spans="3:5" x14ac:dyDescent="0.25">
      <c r="C60" t="str">
        <f>IF(A60="","",SUMIFS(Lançamentos!$E:$E,Lançamentos!$C:$C,A60,Lançamentos!$B:$B,"Despesa"))</f>
        <v/>
      </c>
      <c r="D60" t="str">
        <f t="shared" si="0"/>
        <v/>
      </c>
      <c r="E60" t="str">
        <f t="shared" si="1"/>
        <v/>
      </c>
    </row>
    <row r="61" spans="3:5" x14ac:dyDescent="0.25">
      <c r="C61" t="str">
        <f>IF(A61="","",SUMIFS(Lançamentos!$E:$E,Lançamentos!$C:$C,A61,Lançamentos!$B:$B,"Despesa"))</f>
        <v/>
      </c>
      <c r="D61" t="str">
        <f t="shared" si="0"/>
        <v/>
      </c>
      <c r="E61" t="str">
        <f t="shared" si="1"/>
        <v/>
      </c>
    </row>
    <row r="62" spans="3:5" x14ac:dyDescent="0.25">
      <c r="C62" t="str">
        <f>IF(A62="","",SUMIFS(Lançamentos!$E:$E,Lançamentos!$C:$C,A62,Lançamentos!$B:$B,"Despesa"))</f>
        <v/>
      </c>
      <c r="D62" t="str">
        <f t="shared" si="0"/>
        <v/>
      </c>
      <c r="E62" t="str">
        <f t="shared" si="1"/>
        <v/>
      </c>
    </row>
    <row r="63" spans="3:5" x14ac:dyDescent="0.25">
      <c r="C63" t="str">
        <f>IF(A63="","",SUMIFS(Lançamentos!$E:$E,Lançamentos!$C:$C,A63,Lançamentos!$B:$B,"Despesa"))</f>
        <v/>
      </c>
      <c r="D63" t="str">
        <f t="shared" si="0"/>
        <v/>
      </c>
      <c r="E63" t="str">
        <f t="shared" si="1"/>
        <v/>
      </c>
    </row>
    <row r="64" spans="3:5" x14ac:dyDescent="0.25">
      <c r="C64" t="str">
        <f>IF(A64="","",SUMIFS(Lançamentos!$E:$E,Lançamentos!$C:$C,A64,Lançamentos!$B:$B,"Despesa"))</f>
        <v/>
      </c>
      <c r="D64" t="str">
        <f t="shared" si="0"/>
        <v/>
      </c>
      <c r="E64" t="str">
        <f t="shared" si="1"/>
        <v/>
      </c>
    </row>
    <row r="65" spans="3:5" x14ac:dyDescent="0.25">
      <c r="C65" t="str">
        <f>IF(A65="","",SUMIFS(Lançamentos!$E:$E,Lançamentos!$C:$C,A65,Lançamentos!$B:$B,"Despesa"))</f>
        <v/>
      </c>
      <c r="D65" t="str">
        <f t="shared" si="0"/>
        <v/>
      </c>
      <c r="E65" t="str">
        <f t="shared" si="1"/>
        <v/>
      </c>
    </row>
    <row r="66" spans="3:5" x14ac:dyDescent="0.25">
      <c r="C66" t="str">
        <f>IF(A66="","",SUMIFS(Lançamentos!$E:$E,Lançamentos!$C:$C,A66,Lançamentos!$B:$B,"Despesa"))</f>
        <v/>
      </c>
      <c r="D66" t="str">
        <f t="shared" si="0"/>
        <v/>
      </c>
      <c r="E66" t="str">
        <f t="shared" si="1"/>
        <v/>
      </c>
    </row>
    <row r="67" spans="3:5" x14ac:dyDescent="0.25">
      <c r="C67" t="str">
        <f>IF(A67="","",SUMIFS(Lançamentos!$E:$E,Lançamentos!$C:$C,A67,Lançamentos!$B:$B,"Despesa"))</f>
        <v/>
      </c>
      <c r="D67" t="str">
        <f t="shared" si="0"/>
        <v/>
      </c>
      <c r="E67" t="str">
        <f t="shared" si="1"/>
        <v/>
      </c>
    </row>
    <row r="68" spans="3:5" x14ac:dyDescent="0.25">
      <c r="C68" t="str">
        <f>IF(A68="","",SUMIFS(Lançamentos!$E:$E,Lançamentos!$C:$C,A68,Lançamentos!$B:$B,"Despesa"))</f>
        <v/>
      </c>
      <c r="D68" t="str">
        <f t="shared" si="0"/>
        <v/>
      </c>
      <c r="E68" t="str">
        <f t="shared" si="1"/>
        <v/>
      </c>
    </row>
    <row r="69" spans="3:5" x14ac:dyDescent="0.25">
      <c r="C69" t="str">
        <f>IF(A69="","",SUMIFS(Lançamentos!$E:$E,Lançamentos!$C:$C,A69,Lançamentos!$B:$B,"Despesa"))</f>
        <v/>
      </c>
      <c r="D69" t="str">
        <f t="shared" si="0"/>
        <v/>
      </c>
      <c r="E69" t="str">
        <f t="shared" si="1"/>
        <v/>
      </c>
    </row>
    <row r="70" spans="3:5" x14ac:dyDescent="0.25">
      <c r="C70" t="str">
        <f>IF(A70="","",SUMIFS(Lançamentos!$E:$E,Lançamentos!$C:$C,A70,Lançamentos!$B:$B,"Despesa"))</f>
        <v/>
      </c>
      <c r="D70" t="str">
        <f t="shared" ref="D70:D133" si="2">IF(A70="","",B70-C70)</f>
        <v/>
      </c>
      <c r="E70" t="str">
        <f t="shared" ref="E70:E133" si="3">IF(A70="","",IF(C70&gt;B70,"Acima do Orçamento","Dentro do Orçamento"))</f>
        <v/>
      </c>
    </row>
    <row r="71" spans="3:5" x14ac:dyDescent="0.25">
      <c r="C71" t="str">
        <f>IF(A71="","",SUMIFS(Lançamentos!$E:$E,Lançamentos!$C:$C,A71,Lançamentos!$B:$B,"Despesa"))</f>
        <v/>
      </c>
      <c r="D71" t="str">
        <f t="shared" si="2"/>
        <v/>
      </c>
      <c r="E71" t="str">
        <f t="shared" si="3"/>
        <v/>
      </c>
    </row>
    <row r="72" spans="3:5" x14ac:dyDescent="0.25">
      <c r="C72" t="str">
        <f>IF(A72="","",SUMIFS(Lançamentos!$E:$E,Lançamentos!$C:$C,A72,Lançamentos!$B:$B,"Despesa"))</f>
        <v/>
      </c>
      <c r="D72" t="str">
        <f t="shared" si="2"/>
        <v/>
      </c>
      <c r="E72" t="str">
        <f t="shared" si="3"/>
        <v/>
      </c>
    </row>
    <row r="73" spans="3:5" x14ac:dyDescent="0.25">
      <c r="C73" t="str">
        <f>IF(A73="","",SUMIFS(Lançamentos!$E:$E,Lançamentos!$C:$C,A73,Lançamentos!$B:$B,"Despesa"))</f>
        <v/>
      </c>
      <c r="D73" t="str">
        <f t="shared" si="2"/>
        <v/>
      </c>
      <c r="E73" t="str">
        <f t="shared" si="3"/>
        <v/>
      </c>
    </row>
    <row r="74" spans="3:5" x14ac:dyDescent="0.25">
      <c r="C74" t="str">
        <f>IF(A74="","",SUMIFS(Lançamentos!$E:$E,Lançamentos!$C:$C,A74,Lançamentos!$B:$B,"Despesa"))</f>
        <v/>
      </c>
      <c r="D74" t="str">
        <f t="shared" si="2"/>
        <v/>
      </c>
      <c r="E74" t="str">
        <f t="shared" si="3"/>
        <v/>
      </c>
    </row>
    <row r="75" spans="3:5" x14ac:dyDescent="0.25">
      <c r="C75" t="str">
        <f>IF(A75="","",SUMIFS(Lançamentos!$E:$E,Lançamentos!$C:$C,A75,Lançamentos!$B:$B,"Despesa"))</f>
        <v/>
      </c>
      <c r="D75" t="str">
        <f t="shared" si="2"/>
        <v/>
      </c>
      <c r="E75" t="str">
        <f t="shared" si="3"/>
        <v/>
      </c>
    </row>
    <row r="76" spans="3:5" x14ac:dyDescent="0.25">
      <c r="C76" t="str">
        <f>IF(A76="","",SUMIFS(Lançamentos!$E:$E,Lançamentos!$C:$C,A76,Lançamentos!$B:$B,"Despesa"))</f>
        <v/>
      </c>
      <c r="D76" t="str">
        <f t="shared" si="2"/>
        <v/>
      </c>
      <c r="E76" t="str">
        <f t="shared" si="3"/>
        <v/>
      </c>
    </row>
    <row r="77" spans="3:5" x14ac:dyDescent="0.25">
      <c r="C77" t="str">
        <f>IF(A77="","",SUMIFS(Lançamentos!$E:$E,Lançamentos!$C:$C,A77,Lançamentos!$B:$B,"Despesa"))</f>
        <v/>
      </c>
      <c r="D77" t="str">
        <f t="shared" si="2"/>
        <v/>
      </c>
      <c r="E77" t="str">
        <f t="shared" si="3"/>
        <v/>
      </c>
    </row>
    <row r="78" spans="3:5" x14ac:dyDescent="0.25">
      <c r="C78" t="str">
        <f>IF(A78="","",SUMIFS(Lançamentos!$E:$E,Lançamentos!$C:$C,A78,Lançamentos!$B:$B,"Despesa"))</f>
        <v/>
      </c>
      <c r="D78" t="str">
        <f t="shared" si="2"/>
        <v/>
      </c>
      <c r="E78" t="str">
        <f t="shared" si="3"/>
        <v/>
      </c>
    </row>
    <row r="79" spans="3:5" x14ac:dyDescent="0.25">
      <c r="C79" t="str">
        <f>IF(A79="","",SUMIFS(Lançamentos!$E:$E,Lançamentos!$C:$C,A79,Lançamentos!$B:$B,"Despesa"))</f>
        <v/>
      </c>
      <c r="D79" t="str">
        <f t="shared" si="2"/>
        <v/>
      </c>
      <c r="E79" t="str">
        <f t="shared" si="3"/>
        <v/>
      </c>
    </row>
    <row r="80" spans="3:5" x14ac:dyDescent="0.25">
      <c r="C80" t="str">
        <f>IF(A80="","",SUMIFS(Lançamentos!$E:$E,Lançamentos!$C:$C,A80,Lançamentos!$B:$B,"Despesa"))</f>
        <v/>
      </c>
      <c r="D80" t="str">
        <f t="shared" si="2"/>
        <v/>
      </c>
      <c r="E80" t="str">
        <f t="shared" si="3"/>
        <v/>
      </c>
    </row>
    <row r="81" spans="3:5" x14ac:dyDescent="0.25">
      <c r="C81" t="str">
        <f>IF(A81="","",SUMIFS(Lançamentos!$E:$E,Lançamentos!$C:$C,A81,Lançamentos!$B:$B,"Despesa"))</f>
        <v/>
      </c>
      <c r="D81" t="str">
        <f t="shared" si="2"/>
        <v/>
      </c>
      <c r="E81" t="str">
        <f t="shared" si="3"/>
        <v/>
      </c>
    </row>
    <row r="82" spans="3:5" x14ac:dyDescent="0.25">
      <c r="C82" t="str">
        <f>IF(A82="","",SUMIFS(Lançamentos!$E:$E,Lançamentos!$C:$C,A82,Lançamentos!$B:$B,"Despesa"))</f>
        <v/>
      </c>
      <c r="D82" t="str">
        <f t="shared" si="2"/>
        <v/>
      </c>
      <c r="E82" t="str">
        <f t="shared" si="3"/>
        <v/>
      </c>
    </row>
    <row r="83" spans="3:5" x14ac:dyDescent="0.25">
      <c r="C83" t="str">
        <f>IF(A83="","",SUMIFS(Lançamentos!$E:$E,Lançamentos!$C:$C,A83,Lançamentos!$B:$B,"Despesa"))</f>
        <v/>
      </c>
      <c r="D83" t="str">
        <f t="shared" si="2"/>
        <v/>
      </c>
      <c r="E83" t="str">
        <f t="shared" si="3"/>
        <v/>
      </c>
    </row>
    <row r="84" spans="3:5" x14ac:dyDescent="0.25">
      <c r="C84" t="str">
        <f>IF(A84="","",SUMIFS(Lançamentos!$E:$E,Lançamentos!$C:$C,A84,Lançamentos!$B:$B,"Despesa"))</f>
        <v/>
      </c>
      <c r="D84" t="str">
        <f t="shared" si="2"/>
        <v/>
      </c>
      <c r="E84" t="str">
        <f t="shared" si="3"/>
        <v/>
      </c>
    </row>
    <row r="85" spans="3:5" x14ac:dyDescent="0.25">
      <c r="C85" t="str">
        <f>IF(A85="","",SUMIFS(Lançamentos!$E:$E,Lançamentos!$C:$C,A85,Lançamentos!$B:$B,"Despesa"))</f>
        <v/>
      </c>
      <c r="D85" t="str">
        <f t="shared" si="2"/>
        <v/>
      </c>
      <c r="E85" t="str">
        <f t="shared" si="3"/>
        <v/>
      </c>
    </row>
    <row r="86" spans="3:5" x14ac:dyDescent="0.25">
      <c r="C86" t="str">
        <f>IF(A86="","",SUMIFS(Lançamentos!$E:$E,Lançamentos!$C:$C,A86,Lançamentos!$B:$B,"Despesa"))</f>
        <v/>
      </c>
      <c r="D86" t="str">
        <f t="shared" si="2"/>
        <v/>
      </c>
      <c r="E86" t="str">
        <f t="shared" si="3"/>
        <v/>
      </c>
    </row>
    <row r="87" spans="3:5" x14ac:dyDescent="0.25">
      <c r="C87" t="str">
        <f>IF(A87="","",SUMIFS(Lançamentos!$E:$E,Lançamentos!$C:$C,A87,Lançamentos!$B:$B,"Despesa"))</f>
        <v/>
      </c>
      <c r="D87" t="str">
        <f t="shared" si="2"/>
        <v/>
      </c>
      <c r="E87" t="str">
        <f t="shared" si="3"/>
        <v/>
      </c>
    </row>
    <row r="88" spans="3:5" x14ac:dyDescent="0.25">
      <c r="C88" t="str">
        <f>IF(A88="","",SUMIFS(Lançamentos!$E:$E,Lançamentos!$C:$C,A88,Lançamentos!$B:$B,"Despesa"))</f>
        <v/>
      </c>
      <c r="D88" t="str">
        <f t="shared" si="2"/>
        <v/>
      </c>
      <c r="E88" t="str">
        <f t="shared" si="3"/>
        <v/>
      </c>
    </row>
    <row r="89" spans="3:5" x14ac:dyDescent="0.25">
      <c r="C89" t="str">
        <f>IF(A89="","",SUMIFS(Lançamentos!$E:$E,Lançamentos!$C:$C,A89,Lançamentos!$B:$B,"Despesa"))</f>
        <v/>
      </c>
      <c r="D89" t="str">
        <f t="shared" si="2"/>
        <v/>
      </c>
      <c r="E89" t="str">
        <f t="shared" si="3"/>
        <v/>
      </c>
    </row>
    <row r="90" spans="3:5" x14ac:dyDescent="0.25">
      <c r="C90" t="str">
        <f>IF(A90="","",SUMIFS(Lançamentos!$E:$E,Lançamentos!$C:$C,A90,Lançamentos!$B:$B,"Despesa"))</f>
        <v/>
      </c>
      <c r="D90" t="str">
        <f t="shared" si="2"/>
        <v/>
      </c>
      <c r="E90" t="str">
        <f t="shared" si="3"/>
        <v/>
      </c>
    </row>
    <row r="91" spans="3:5" x14ac:dyDescent="0.25">
      <c r="C91" t="str">
        <f>IF(A91="","",SUMIFS(Lançamentos!$E:$E,Lançamentos!$C:$C,A91,Lançamentos!$B:$B,"Despesa"))</f>
        <v/>
      </c>
      <c r="D91" t="str">
        <f t="shared" si="2"/>
        <v/>
      </c>
      <c r="E91" t="str">
        <f t="shared" si="3"/>
        <v/>
      </c>
    </row>
    <row r="92" spans="3:5" x14ac:dyDescent="0.25">
      <c r="C92" t="str">
        <f>IF(A92="","",SUMIFS(Lançamentos!$E:$E,Lançamentos!$C:$C,A92,Lançamentos!$B:$B,"Despesa"))</f>
        <v/>
      </c>
      <c r="D92" t="str">
        <f t="shared" si="2"/>
        <v/>
      </c>
      <c r="E92" t="str">
        <f t="shared" si="3"/>
        <v/>
      </c>
    </row>
    <row r="93" spans="3:5" x14ac:dyDescent="0.25">
      <c r="C93" t="str">
        <f>IF(A93="","",SUMIFS(Lançamentos!$E:$E,Lançamentos!$C:$C,A93,Lançamentos!$B:$B,"Despesa"))</f>
        <v/>
      </c>
      <c r="D93" t="str">
        <f t="shared" si="2"/>
        <v/>
      </c>
      <c r="E93" t="str">
        <f t="shared" si="3"/>
        <v/>
      </c>
    </row>
    <row r="94" spans="3:5" x14ac:dyDescent="0.25">
      <c r="C94" t="str">
        <f>IF(A94="","",SUMIFS(Lançamentos!$E:$E,Lançamentos!$C:$C,A94,Lançamentos!$B:$B,"Despesa"))</f>
        <v/>
      </c>
      <c r="D94" t="str">
        <f t="shared" si="2"/>
        <v/>
      </c>
      <c r="E94" t="str">
        <f t="shared" si="3"/>
        <v/>
      </c>
    </row>
    <row r="95" spans="3:5" x14ac:dyDescent="0.25">
      <c r="C95" t="str">
        <f>IF(A95="","",SUMIFS(Lançamentos!$E:$E,Lançamentos!$C:$C,A95,Lançamentos!$B:$B,"Despesa"))</f>
        <v/>
      </c>
      <c r="D95" t="str">
        <f t="shared" si="2"/>
        <v/>
      </c>
      <c r="E95" t="str">
        <f t="shared" si="3"/>
        <v/>
      </c>
    </row>
    <row r="96" spans="3:5" x14ac:dyDescent="0.25">
      <c r="C96" t="str">
        <f>IF(A96="","",SUMIFS(Lançamentos!$E:$E,Lançamentos!$C:$C,A96,Lançamentos!$B:$B,"Despesa"))</f>
        <v/>
      </c>
      <c r="D96" t="str">
        <f t="shared" si="2"/>
        <v/>
      </c>
      <c r="E96" t="str">
        <f t="shared" si="3"/>
        <v/>
      </c>
    </row>
    <row r="97" spans="3:5" x14ac:dyDescent="0.25">
      <c r="C97" t="str">
        <f>IF(A97="","",SUMIFS(Lançamentos!$E:$E,Lançamentos!$C:$C,A97,Lançamentos!$B:$B,"Despesa"))</f>
        <v/>
      </c>
      <c r="D97" t="str">
        <f t="shared" si="2"/>
        <v/>
      </c>
      <c r="E97" t="str">
        <f t="shared" si="3"/>
        <v/>
      </c>
    </row>
    <row r="98" spans="3:5" x14ac:dyDescent="0.25">
      <c r="C98" t="str">
        <f>IF(A98="","",SUMIFS(Lançamentos!$E:$E,Lançamentos!$C:$C,A98,Lançamentos!$B:$B,"Despesa"))</f>
        <v/>
      </c>
      <c r="D98" t="str">
        <f t="shared" si="2"/>
        <v/>
      </c>
      <c r="E98" t="str">
        <f t="shared" si="3"/>
        <v/>
      </c>
    </row>
    <row r="99" spans="3:5" x14ac:dyDescent="0.25">
      <c r="C99" t="str">
        <f>IF(A99="","",SUMIFS(Lançamentos!$E:$E,Lançamentos!$C:$C,A99,Lançamentos!$B:$B,"Despesa"))</f>
        <v/>
      </c>
      <c r="D99" t="str">
        <f t="shared" si="2"/>
        <v/>
      </c>
      <c r="E99" t="str">
        <f t="shared" si="3"/>
        <v/>
      </c>
    </row>
    <row r="100" spans="3:5" x14ac:dyDescent="0.25">
      <c r="C100" t="str">
        <f>IF(A100="","",SUMIFS(Lançamentos!$E:$E,Lançamentos!$C:$C,A100,Lançamentos!$B:$B,"Despesa"))</f>
        <v/>
      </c>
      <c r="D100" t="str">
        <f t="shared" si="2"/>
        <v/>
      </c>
      <c r="E100" t="str">
        <f t="shared" si="3"/>
        <v/>
      </c>
    </row>
    <row r="101" spans="3:5" x14ac:dyDescent="0.25">
      <c r="C101" t="str">
        <f>IF(A101="","",SUMIFS(Lançamentos!$E:$E,Lançamentos!$C:$C,A101,Lançamentos!$B:$B,"Despesa"))</f>
        <v/>
      </c>
      <c r="D101" t="str">
        <f t="shared" si="2"/>
        <v/>
      </c>
      <c r="E101" t="str">
        <f t="shared" si="3"/>
        <v/>
      </c>
    </row>
    <row r="102" spans="3:5" x14ac:dyDescent="0.25">
      <c r="C102" t="str">
        <f>IF(A102="","",SUMIFS(Lançamentos!$E:$E,Lançamentos!$C:$C,A102,Lançamentos!$B:$B,"Despesa"))</f>
        <v/>
      </c>
      <c r="D102" t="str">
        <f t="shared" si="2"/>
        <v/>
      </c>
      <c r="E102" t="str">
        <f t="shared" si="3"/>
        <v/>
      </c>
    </row>
    <row r="103" spans="3:5" x14ac:dyDescent="0.25">
      <c r="C103" t="str">
        <f>IF(A103="","",SUMIFS(Lançamentos!$E:$E,Lançamentos!$C:$C,A103,Lançamentos!$B:$B,"Despesa"))</f>
        <v/>
      </c>
      <c r="D103" t="str">
        <f t="shared" si="2"/>
        <v/>
      </c>
      <c r="E103" t="str">
        <f t="shared" si="3"/>
        <v/>
      </c>
    </row>
    <row r="104" spans="3:5" x14ac:dyDescent="0.25">
      <c r="C104" t="str">
        <f>IF(A104="","",SUMIFS(Lançamentos!$E:$E,Lançamentos!$C:$C,A104,Lançamentos!$B:$B,"Despesa"))</f>
        <v/>
      </c>
      <c r="D104" t="str">
        <f t="shared" si="2"/>
        <v/>
      </c>
      <c r="E104" t="str">
        <f t="shared" si="3"/>
        <v/>
      </c>
    </row>
    <row r="105" spans="3:5" x14ac:dyDescent="0.25">
      <c r="C105" t="str">
        <f>IF(A105="","",SUMIFS(Lançamentos!$E:$E,Lançamentos!$C:$C,A105,Lançamentos!$B:$B,"Despesa"))</f>
        <v/>
      </c>
      <c r="D105" t="str">
        <f t="shared" si="2"/>
        <v/>
      </c>
      <c r="E105" t="str">
        <f t="shared" si="3"/>
        <v/>
      </c>
    </row>
    <row r="106" spans="3:5" x14ac:dyDescent="0.25">
      <c r="C106" t="str">
        <f>IF(A106="","",SUMIFS(Lançamentos!$E:$E,Lançamentos!$C:$C,A106,Lançamentos!$B:$B,"Despesa"))</f>
        <v/>
      </c>
      <c r="D106" t="str">
        <f t="shared" si="2"/>
        <v/>
      </c>
      <c r="E106" t="str">
        <f t="shared" si="3"/>
        <v/>
      </c>
    </row>
    <row r="107" spans="3:5" x14ac:dyDescent="0.25">
      <c r="C107" t="str">
        <f>IF(A107="","",SUMIFS(Lançamentos!$E:$E,Lançamentos!$C:$C,A107,Lançamentos!$B:$B,"Despesa"))</f>
        <v/>
      </c>
      <c r="D107" t="str">
        <f t="shared" si="2"/>
        <v/>
      </c>
      <c r="E107" t="str">
        <f t="shared" si="3"/>
        <v/>
      </c>
    </row>
    <row r="108" spans="3:5" x14ac:dyDescent="0.25">
      <c r="C108" t="str">
        <f>IF(A108="","",SUMIFS(Lançamentos!$E:$E,Lançamentos!$C:$C,A108,Lançamentos!$B:$B,"Despesa"))</f>
        <v/>
      </c>
      <c r="D108" t="str">
        <f t="shared" si="2"/>
        <v/>
      </c>
      <c r="E108" t="str">
        <f t="shared" si="3"/>
        <v/>
      </c>
    </row>
    <row r="109" spans="3:5" x14ac:dyDescent="0.25">
      <c r="C109" t="str">
        <f>IF(A109="","",SUMIFS(Lançamentos!$E:$E,Lançamentos!$C:$C,A109,Lançamentos!$B:$B,"Despesa"))</f>
        <v/>
      </c>
      <c r="D109" t="str">
        <f t="shared" si="2"/>
        <v/>
      </c>
      <c r="E109" t="str">
        <f t="shared" si="3"/>
        <v/>
      </c>
    </row>
    <row r="110" spans="3:5" x14ac:dyDescent="0.25">
      <c r="C110" t="str">
        <f>IF(A110="","",SUMIFS(Lançamentos!$E:$E,Lançamentos!$C:$C,A110,Lançamentos!$B:$B,"Despesa"))</f>
        <v/>
      </c>
      <c r="D110" t="str">
        <f t="shared" si="2"/>
        <v/>
      </c>
      <c r="E110" t="str">
        <f t="shared" si="3"/>
        <v/>
      </c>
    </row>
    <row r="111" spans="3:5" x14ac:dyDescent="0.25">
      <c r="C111" t="str">
        <f>IF(A111="","",SUMIFS(Lançamentos!$E:$E,Lançamentos!$C:$C,A111,Lançamentos!$B:$B,"Despesa"))</f>
        <v/>
      </c>
      <c r="D111" t="str">
        <f t="shared" si="2"/>
        <v/>
      </c>
      <c r="E111" t="str">
        <f t="shared" si="3"/>
        <v/>
      </c>
    </row>
    <row r="112" spans="3:5" x14ac:dyDescent="0.25">
      <c r="C112" t="str">
        <f>IF(A112="","",SUMIFS(Lançamentos!$E:$E,Lançamentos!$C:$C,A112,Lançamentos!$B:$B,"Despesa"))</f>
        <v/>
      </c>
      <c r="D112" t="str">
        <f t="shared" si="2"/>
        <v/>
      </c>
      <c r="E112" t="str">
        <f t="shared" si="3"/>
        <v/>
      </c>
    </row>
    <row r="113" spans="3:5" x14ac:dyDescent="0.25">
      <c r="C113" t="str">
        <f>IF(A113="","",SUMIFS(Lançamentos!$E:$E,Lançamentos!$C:$C,A113,Lançamentos!$B:$B,"Despesa"))</f>
        <v/>
      </c>
      <c r="D113" t="str">
        <f t="shared" si="2"/>
        <v/>
      </c>
      <c r="E113" t="str">
        <f t="shared" si="3"/>
        <v/>
      </c>
    </row>
    <row r="114" spans="3:5" x14ac:dyDescent="0.25">
      <c r="C114" t="str">
        <f>IF(A114="","",SUMIFS(Lançamentos!$E:$E,Lançamentos!$C:$C,A114,Lançamentos!$B:$B,"Despesa"))</f>
        <v/>
      </c>
      <c r="D114" t="str">
        <f t="shared" si="2"/>
        <v/>
      </c>
      <c r="E114" t="str">
        <f t="shared" si="3"/>
        <v/>
      </c>
    </row>
    <row r="115" spans="3:5" x14ac:dyDescent="0.25">
      <c r="C115" t="str">
        <f>IF(A115="","",SUMIFS(Lançamentos!$E:$E,Lançamentos!$C:$C,A115,Lançamentos!$B:$B,"Despesa"))</f>
        <v/>
      </c>
      <c r="D115" t="str">
        <f t="shared" si="2"/>
        <v/>
      </c>
      <c r="E115" t="str">
        <f t="shared" si="3"/>
        <v/>
      </c>
    </row>
    <row r="116" spans="3:5" x14ac:dyDescent="0.25">
      <c r="C116" t="str">
        <f>IF(A116="","",SUMIFS(Lançamentos!$E:$E,Lançamentos!$C:$C,A116,Lançamentos!$B:$B,"Despesa"))</f>
        <v/>
      </c>
      <c r="D116" t="str">
        <f t="shared" si="2"/>
        <v/>
      </c>
      <c r="E116" t="str">
        <f t="shared" si="3"/>
        <v/>
      </c>
    </row>
    <row r="117" spans="3:5" x14ac:dyDescent="0.25">
      <c r="C117" t="str">
        <f>IF(A117="","",SUMIFS(Lançamentos!$E:$E,Lançamentos!$C:$C,A117,Lançamentos!$B:$B,"Despesa"))</f>
        <v/>
      </c>
      <c r="D117" t="str">
        <f t="shared" si="2"/>
        <v/>
      </c>
      <c r="E117" t="str">
        <f t="shared" si="3"/>
        <v/>
      </c>
    </row>
    <row r="118" spans="3:5" x14ac:dyDescent="0.25">
      <c r="C118" t="str">
        <f>IF(A118="","",SUMIFS(Lançamentos!$E:$E,Lançamentos!$C:$C,A118,Lançamentos!$B:$B,"Despesa"))</f>
        <v/>
      </c>
      <c r="D118" t="str">
        <f t="shared" si="2"/>
        <v/>
      </c>
      <c r="E118" t="str">
        <f t="shared" si="3"/>
        <v/>
      </c>
    </row>
    <row r="119" spans="3:5" x14ac:dyDescent="0.25">
      <c r="C119" t="str">
        <f>IF(A119="","",SUMIFS(Lançamentos!$E:$E,Lançamentos!$C:$C,A119,Lançamentos!$B:$B,"Despesa"))</f>
        <v/>
      </c>
      <c r="D119" t="str">
        <f t="shared" si="2"/>
        <v/>
      </c>
      <c r="E119" t="str">
        <f t="shared" si="3"/>
        <v/>
      </c>
    </row>
    <row r="120" spans="3:5" x14ac:dyDescent="0.25">
      <c r="C120" t="str">
        <f>IF(A120="","",SUMIFS(Lançamentos!$E:$E,Lançamentos!$C:$C,A120,Lançamentos!$B:$B,"Despesa"))</f>
        <v/>
      </c>
      <c r="D120" t="str">
        <f t="shared" si="2"/>
        <v/>
      </c>
      <c r="E120" t="str">
        <f t="shared" si="3"/>
        <v/>
      </c>
    </row>
    <row r="121" spans="3:5" x14ac:dyDescent="0.25">
      <c r="C121" t="str">
        <f>IF(A121="","",SUMIFS(Lançamentos!$E:$E,Lançamentos!$C:$C,A121,Lançamentos!$B:$B,"Despesa"))</f>
        <v/>
      </c>
      <c r="D121" t="str">
        <f t="shared" si="2"/>
        <v/>
      </c>
      <c r="E121" t="str">
        <f t="shared" si="3"/>
        <v/>
      </c>
    </row>
    <row r="122" spans="3:5" x14ac:dyDescent="0.25">
      <c r="C122" t="str">
        <f>IF(A122="","",SUMIFS(Lançamentos!$E:$E,Lançamentos!$C:$C,A122,Lançamentos!$B:$B,"Despesa"))</f>
        <v/>
      </c>
      <c r="D122" t="str">
        <f t="shared" si="2"/>
        <v/>
      </c>
      <c r="E122" t="str">
        <f t="shared" si="3"/>
        <v/>
      </c>
    </row>
    <row r="123" spans="3:5" x14ac:dyDescent="0.25">
      <c r="C123" t="str">
        <f>IF(A123="","",SUMIFS(Lançamentos!$E:$E,Lançamentos!$C:$C,A123,Lançamentos!$B:$B,"Despesa"))</f>
        <v/>
      </c>
      <c r="D123" t="str">
        <f t="shared" si="2"/>
        <v/>
      </c>
      <c r="E123" t="str">
        <f t="shared" si="3"/>
        <v/>
      </c>
    </row>
    <row r="124" spans="3:5" x14ac:dyDescent="0.25">
      <c r="C124" t="str">
        <f>IF(A124="","",SUMIFS(Lançamentos!$E:$E,Lançamentos!$C:$C,A124,Lançamentos!$B:$B,"Despesa"))</f>
        <v/>
      </c>
      <c r="D124" t="str">
        <f t="shared" si="2"/>
        <v/>
      </c>
      <c r="E124" t="str">
        <f t="shared" si="3"/>
        <v/>
      </c>
    </row>
    <row r="125" spans="3:5" x14ac:dyDescent="0.25">
      <c r="C125" t="str">
        <f>IF(A125="","",SUMIFS(Lançamentos!$E:$E,Lançamentos!$C:$C,A125,Lançamentos!$B:$B,"Despesa"))</f>
        <v/>
      </c>
      <c r="D125" t="str">
        <f t="shared" si="2"/>
        <v/>
      </c>
      <c r="E125" t="str">
        <f t="shared" si="3"/>
        <v/>
      </c>
    </row>
    <row r="126" spans="3:5" x14ac:dyDescent="0.25">
      <c r="C126" t="str">
        <f>IF(A126="","",SUMIFS(Lançamentos!$E:$E,Lançamentos!$C:$C,A126,Lançamentos!$B:$B,"Despesa"))</f>
        <v/>
      </c>
      <c r="D126" t="str">
        <f t="shared" si="2"/>
        <v/>
      </c>
      <c r="E126" t="str">
        <f t="shared" si="3"/>
        <v/>
      </c>
    </row>
    <row r="127" spans="3:5" x14ac:dyDescent="0.25">
      <c r="C127" t="str">
        <f>IF(A127="","",SUMIFS(Lançamentos!$E:$E,Lançamentos!$C:$C,A127,Lançamentos!$B:$B,"Despesa"))</f>
        <v/>
      </c>
      <c r="D127" t="str">
        <f t="shared" si="2"/>
        <v/>
      </c>
      <c r="E127" t="str">
        <f t="shared" si="3"/>
        <v/>
      </c>
    </row>
    <row r="128" spans="3:5" x14ac:dyDescent="0.25">
      <c r="C128" t="str">
        <f>IF(A128="","",SUMIFS(Lançamentos!$E:$E,Lançamentos!$C:$C,A128,Lançamentos!$B:$B,"Despesa"))</f>
        <v/>
      </c>
      <c r="D128" t="str">
        <f t="shared" si="2"/>
        <v/>
      </c>
      <c r="E128" t="str">
        <f t="shared" si="3"/>
        <v/>
      </c>
    </row>
    <row r="129" spans="3:5" x14ac:dyDescent="0.25">
      <c r="C129" t="str">
        <f>IF(A129="","",SUMIFS(Lançamentos!$E:$E,Lançamentos!$C:$C,A129,Lançamentos!$B:$B,"Despesa"))</f>
        <v/>
      </c>
      <c r="D129" t="str">
        <f t="shared" si="2"/>
        <v/>
      </c>
      <c r="E129" t="str">
        <f t="shared" si="3"/>
        <v/>
      </c>
    </row>
    <row r="130" spans="3:5" x14ac:dyDescent="0.25">
      <c r="C130" t="str">
        <f>IF(A130="","",SUMIFS(Lançamentos!$E:$E,Lançamentos!$C:$C,A130,Lançamentos!$B:$B,"Despesa"))</f>
        <v/>
      </c>
      <c r="D130" t="str">
        <f t="shared" si="2"/>
        <v/>
      </c>
      <c r="E130" t="str">
        <f t="shared" si="3"/>
        <v/>
      </c>
    </row>
    <row r="131" spans="3:5" x14ac:dyDescent="0.25">
      <c r="C131" t="str">
        <f>IF(A131="","",SUMIFS(Lançamentos!$E:$E,Lançamentos!$C:$C,A131,Lançamentos!$B:$B,"Despesa"))</f>
        <v/>
      </c>
      <c r="D131" t="str">
        <f t="shared" si="2"/>
        <v/>
      </c>
      <c r="E131" t="str">
        <f t="shared" si="3"/>
        <v/>
      </c>
    </row>
    <row r="132" spans="3:5" x14ac:dyDescent="0.25">
      <c r="C132" t="str">
        <f>IF(A132="","",SUMIFS(Lançamentos!$E:$E,Lançamentos!$C:$C,A132,Lançamentos!$B:$B,"Despesa"))</f>
        <v/>
      </c>
      <c r="D132" t="str">
        <f t="shared" si="2"/>
        <v/>
      </c>
      <c r="E132" t="str">
        <f t="shared" si="3"/>
        <v/>
      </c>
    </row>
    <row r="133" spans="3:5" x14ac:dyDescent="0.25">
      <c r="C133" t="str">
        <f>IF(A133="","",SUMIFS(Lançamentos!$E:$E,Lançamentos!$C:$C,A133,Lançamentos!$B:$B,"Despesa"))</f>
        <v/>
      </c>
      <c r="D133" t="str">
        <f t="shared" si="2"/>
        <v/>
      </c>
      <c r="E133" t="str">
        <f t="shared" si="3"/>
        <v/>
      </c>
    </row>
    <row r="134" spans="3:5" x14ac:dyDescent="0.25">
      <c r="C134" t="str">
        <f>IF(A134="","",SUMIFS(Lançamentos!$E:$E,Lançamentos!$C:$C,A134,Lançamentos!$B:$B,"Despesa"))</f>
        <v/>
      </c>
      <c r="D134" t="str">
        <f t="shared" ref="D134:D197" si="4">IF(A134="","",B134-C134)</f>
        <v/>
      </c>
      <c r="E134" t="str">
        <f t="shared" ref="E134:E197" si="5">IF(A134="","",IF(C134&gt;B134,"Acima do Orçamento","Dentro do Orçamento"))</f>
        <v/>
      </c>
    </row>
    <row r="135" spans="3:5" x14ac:dyDescent="0.25">
      <c r="C135" t="str">
        <f>IF(A135="","",SUMIFS(Lançamentos!$E:$E,Lançamentos!$C:$C,A135,Lançamentos!$B:$B,"Despesa"))</f>
        <v/>
      </c>
      <c r="D135" t="str">
        <f t="shared" si="4"/>
        <v/>
      </c>
      <c r="E135" t="str">
        <f t="shared" si="5"/>
        <v/>
      </c>
    </row>
    <row r="136" spans="3:5" x14ac:dyDescent="0.25">
      <c r="C136" t="str">
        <f>IF(A136="","",SUMIFS(Lançamentos!$E:$E,Lançamentos!$C:$C,A136,Lançamentos!$B:$B,"Despesa"))</f>
        <v/>
      </c>
      <c r="D136" t="str">
        <f t="shared" si="4"/>
        <v/>
      </c>
      <c r="E136" t="str">
        <f t="shared" si="5"/>
        <v/>
      </c>
    </row>
    <row r="137" spans="3:5" x14ac:dyDescent="0.25">
      <c r="C137" t="str">
        <f>IF(A137="","",SUMIFS(Lançamentos!$E:$E,Lançamentos!$C:$C,A137,Lançamentos!$B:$B,"Despesa"))</f>
        <v/>
      </c>
      <c r="D137" t="str">
        <f t="shared" si="4"/>
        <v/>
      </c>
      <c r="E137" t="str">
        <f t="shared" si="5"/>
        <v/>
      </c>
    </row>
    <row r="138" spans="3:5" x14ac:dyDescent="0.25">
      <c r="C138" t="str">
        <f>IF(A138="","",SUMIFS(Lançamentos!$E:$E,Lançamentos!$C:$C,A138,Lançamentos!$B:$B,"Despesa"))</f>
        <v/>
      </c>
      <c r="D138" t="str">
        <f t="shared" si="4"/>
        <v/>
      </c>
      <c r="E138" t="str">
        <f t="shared" si="5"/>
        <v/>
      </c>
    </row>
    <row r="139" spans="3:5" x14ac:dyDescent="0.25">
      <c r="C139" t="str">
        <f>IF(A139="","",SUMIFS(Lançamentos!$E:$E,Lançamentos!$C:$C,A139,Lançamentos!$B:$B,"Despesa"))</f>
        <v/>
      </c>
      <c r="D139" t="str">
        <f t="shared" si="4"/>
        <v/>
      </c>
      <c r="E139" t="str">
        <f t="shared" si="5"/>
        <v/>
      </c>
    </row>
    <row r="140" spans="3:5" x14ac:dyDescent="0.25">
      <c r="C140" t="str">
        <f>IF(A140="","",SUMIFS(Lançamentos!$E:$E,Lançamentos!$C:$C,A140,Lançamentos!$B:$B,"Despesa"))</f>
        <v/>
      </c>
      <c r="D140" t="str">
        <f t="shared" si="4"/>
        <v/>
      </c>
      <c r="E140" t="str">
        <f t="shared" si="5"/>
        <v/>
      </c>
    </row>
    <row r="141" spans="3:5" x14ac:dyDescent="0.25">
      <c r="C141" t="str">
        <f>IF(A141="","",SUMIFS(Lançamentos!$E:$E,Lançamentos!$C:$C,A141,Lançamentos!$B:$B,"Despesa"))</f>
        <v/>
      </c>
      <c r="D141" t="str">
        <f t="shared" si="4"/>
        <v/>
      </c>
      <c r="E141" t="str">
        <f t="shared" si="5"/>
        <v/>
      </c>
    </row>
    <row r="142" spans="3:5" x14ac:dyDescent="0.25">
      <c r="C142" t="str">
        <f>IF(A142="","",SUMIFS(Lançamentos!$E:$E,Lançamentos!$C:$C,A142,Lançamentos!$B:$B,"Despesa"))</f>
        <v/>
      </c>
      <c r="D142" t="str">
        <f t="shared" si="4"/>
        <v/>
      </c>
      <c r="E142" t="str">
        <f t="shared" si="5"/>
        <v/>
      </c>
    </row>
    <row r="143" spans="3:5" x14ac:dyDescent="0.25">
      <c r="C143" t="str">
        <f>IF(A143="","",SUMIFS(Lançamentos!$E:$E,Lançamentos!$C:$C,A143,Lançamentos!$B:$B,"Despesa"))</f>
        <v/>
      </c>
      <c r="D143" t="str">
        <f t="shared" si="4"/>
        <v/>
      </c>
      <c r="E143" t="str">
        <f t="shared" si="5"/>
        <v/>
      </c>
    </row>
    <row r="144" spans="3:5" x14ac:dyDescent="0.25">
      <c r="C144" t="str">
        <f>IF(A144="","",SUMIFS(Lançamentos!$E:$E,Lançamentos!$C:$C,A144,Lançamentos!$B:$B,"Despesa"))</f>
        <v/>
      </c>
      <c r="D144" t="str">
        <f t="shared" si="4"/>
        <v/>
      </c>
      <c r="E144" t="str">
        <f t="shared" si="5"/>
        <v/>
      </c>
    </row>
    <row r="145" spans="3:5" x14ac:dyDescent="0.25">
      <c r="C145" t="str">
        <f>IF(A145="","",SUMIFS(Lançamentos!$E:$E,Lançamentos!$C:$C,A145,Lançamentos!$B:$B,"Despesa"))</f>
        <v/>
      </c>
      <c r="D145" t="str">
        <f t="shared" si="4"/>
        <v/>
      </c>
      <c r="E145" t="str">
        <f t="shared" si="5"/>
        <v/>
      </c>
    </row>
    <row r="146" spans="3:5" x14ac:dyDescent="0.25">
      <c r="C146" t="str">
        <f>IF(A146="","",SUMIFS(Lançamentos!$E:$E,Lançamentos!$C:$C,A146,Lançamentos!$B:$B,"Despesa"))</f>
        <v/>
      </c>
      <c r="D146" t="str">
        <f t="shared" si="4"/>
        <v/>
      </c>
      <c r="E146" t="str">
        <f t="shared" si="5"/>
        <v/>
      </c>
    </row>
    <row r="147" spans="3:5" x14ac:dyDescent="0.25">
      <c r="C147" t="str">
        <f>IF(A147="","",SUMIFS(Lançamentos!$E:$E,Lançamentos!$C:$C,A147,Lançamentos!$B:$B,"Despesa"))</f>
        <v/>
      </c>
      <c r="D147" t="str">
        <f t="shared" si="4"/>
        <v/>
      </c>
      <c r="E147" t="str">
        <f t="shared" si="5"/>
        <v/>
      </c>
    </row>
    <row r="148" spans="3:5" x14ac:dyDescent="0.25">
      <c r="C148" t="str">
        <f>IF(A148="","",SUMIFS(Lançamentos!$E:$E,Lançamentos!$C:$C,A148,Lançamentos!$B:$B,"Despesa"))</f>
        <v/>
      </c>
      <c r="D148" t="str">
        <f t="shared" si="4"/>
        <v/>
      </c>
      <c r="E148" t="str">
        <f t="shared" si="5"/>
        <v/>
      </c>
    </row>
    <row r="149" spans="3:5" x14ac:dyDescent="0.25">
      <c r="C149" t="str">
        <f>IF(A149="","",SUMIFS(Lançamentos!$E:$E,Lançamentos!$C:$C,A149,Lançamentos!$B:$B,"Despesa"))</f>
        <v/>
      </c>
      <c r="D149" t="str">
        <f t="shared" si="4"/>
        <v/>
      </c>
      <c r="E149" t="str">
        <f t="shared" si="5"/>
        <v/>
      </c>
    </row>
    <row r="150" spans="3:5" x14ac:dyDescent="0.25">
      <c r="C150" t="str">
        <f>IF(A150="","",SUMIFS(Lançamentos!$E:$E,Lançamentos!$C:$C,A150,Lançamentos!$B:$B,"Despesa"))</f>
        <v/>
      </c>
      <c r="D150" t="str">
        <f t="shared" si="4"/>
        <v/>
      </c>
      <c r="E150" t="str">
        <f t="shared" si="5"/>
        <v/>
      </c>
    </row>
    <row r="151" spans="3:5" x14ac:dyDescent="0.25">
      <c r="C151" t="str">
        <f>IF(A151="","",SUMIFS(Lançamentos!$E:$E,Lançamentos!$C:$C,A151,Lançamentos!$B:$B,"Despesa"))</f>
        <v/>
      </c>
      <c r="D151" t="str">
        <f t="shared" si="4"/>
        <v/>
      </c>
      <c r="E151" t="str">
        <f t="shared" si="5"/>
        <v/>
      </c>
    </row>
    <row r="152" spans="3:5" x14ac:dyDescent="0.25">
      <c r="C152" t="str">
        <f>IF(A152="","",SUMIFS(Lançamentos!$E:$E,Lançamentos!$C:$C,A152,Lançamentos!$B:$B,"Despesa"))</f>
        <v/>
      </c>
      <c r="D152" t="str">
        <f t="shared" si="4"/>
        <v/>
      </c>
      <c r="E152" t="str">
        <f t="shared" si="5"/>
        <v/>
      </c>
    </row>
    <row r="153" spans="3:5" x14ac:dyDescent="0.25">
      <c r="C153" t="str">
        <f>IF(A153="","",SUMIFS(Lançamentos!$E:$E,Lançamentos!$C:$C,A153,Lançamentos!$B:$B,"Despesa"))</f>
        <v/>
      </c>
      <c r="D153" t="str">
        <f t="shared" si="4"/>
        <v/>
      </c>
      <c r="E153" t="str">
        <f t="shared" si="5"/>
        <v/>
      </c>
    </row>
    <row r="154" spans="3:5" x14ac:dyDescent="0.25">
      <c r="C154" t="str">
        <f>IF(A154="","",SUMIFS(Lançamentos!$E:$E,Lançamentos!$C:$C,A154,Lançamentos!$B:$B,"Despesa"))</f>
        <v/>
      </c>
      <c r="D154" t="str">
        <f t="shared" si="4"/>
        <v/>
      </c>
      <c r="E154" t="str">
        <f t="shared" si="5"/>
        <v/>
      </c>
    </row>
    <row r="155" spans="3:5" x14ac:dyDescent="0.25">
      <c r="C155" t="str">
        <f>IF(A155="","",SUMIFS(Lançamentos!$E:$E,Lançamentos!$C:$C,A155,Lançamentos!$B:$B,"Despesa"))</f>
        <v/>
      </c>
      <c r="D155" t="str">
        <f t="shared" si="4"/>
        <v/>
      </c>
      <c r="E155" t="str">
        <f t="shared" si="5"/>
        <v/>
      </c>
    </row>
    <row r="156" spans="3:5" x14ac:dyDescent="0.25">
      <c r="C156" t="str">
        <f>IF(A156="","",SUMIFS(Lançamentos!$E:$E,Lançamentos!$C:$C,A156,Lançamentos!$B:$B,"Despesa"))</f>
        <v/>
      </c>
      <c r="D156" t="str">
        <f t="shared" si="4"/>
        <v/>
      </c>
      <c r="E156" t="str">
        <f t="shared" si="5"/>
        <v/>
      </c>
    </row>
    <row r="157" spans="3:5" x14ac:dyDescent="0.25">
      <c r="C157" t="str">
        <f>IF(A157="","",SUMIFS(Lançamentos!$E:$E,Lançamentos!$C:$C,A157,Lançamentos!$B:$B,"Despesa"))</f>
        <v/>
      </c>
      <c r="D157" t="str">
        <f t="shared" si="4"/>
        <v/>
      </c>
      <c r="E157" t="str">
        <f t="shared" si="5"/>
        <v/>
      </c>
    </row>
    <row r="158" spans="3:5" x14ac:dyDescent="0.25">
      <c r="C158" t="str">
        <f>IF(A158="","",SUMIFS(Lançamentos!$E:$E,Lançamentos!$C:$C,A158,Lançamentos!$B:$B,"Despesa"))</f>
        <v/>
      </c>
      <c r="D158" t="str">
        <f t="shared" si="4"/>
        <v/>
      </c>
      <c r="E158" t="str">
        <f t="shared" si="5"/>
        <v/>
      </c>
    </row>
    <row r="159" spans="3:5" x14ac:dyDescent="0.25">
      <c r="C159" t="str">
        <f>IF(A159="","",SUMIFS(Lançamentos!$E:$E,Lançamentos!$C:$C,A159,Lançamentos!$B:$B,"Despesa"))</f>
        <v/>
      </c>
      <c r="D159" t="str">
        <f t="shared" si="4"/>
        <v/>
      </c>
      <c r="E159" t="str">
        <f t="shared" si="5"/>
        <v/>
      </c>
    </row>
    <row r="160" spans="3:5" x14ac:dyDescent="0.25">
      <c r="C160" t="str">
        <f>IF(A160="","",SUMIFS(Lançamentos!$E:$E,Lançamentos!$C:$C,A160,Lançamentos!$B:$B,"Despesa"))</f>
        <v/>
      </c>
      <c r="D160" t="str">
        <f t="shared" si="4"/>
        <v/>
      </c>
      <c r="E160" t="str">
        <f t="shared" si="5"/>
        <v/>
      </c>
    </row>
    <row r="161" spans="3:5" x14ac:dyDescent="0.25">
      <c r="C161" t="str">
        <f>IF(A161="","",SUMIFS(Lançamentos!$E:$E,Lançamentos!$C:$C,A161,Lançamentos!$B:$B,"Despesa"))</f>
        <v/>
      </c>
      <c r="D161" t="str">
        <f t="shared" si="4"/>
        <v/>
      </c>
      <c r="E161" t="str">
        <f t="shared" si="5"/>
        <v/>
      </c>
    </row>
    <row r="162" spans="3:5" x14ac:dyDescent="0.25">
      <c r="C162" t="str">
        <f>IF(A162="","",SUMIFS(Lançamentos!$E:$E,Lançamentos!$C:$C,A162,Lançamentos!$B:$B,"Despesa"))</f>
        <v/>
      </c>
      <c r="D162" t="str">
        <f t="shared" si="4"/>
        <v/>
      </c>
      <c r="E162" t="str">
        <f t="shared" si="5"/>
        <v/>
      </c>
    </row>
    <row r="163" spans="3:5" x14ac:dyDescent="0.25">
      <c r="C163" t="str">
        <f>IF(A163="","",SUMIFS(Lançamentos!$E:$E,Lançamentos!$C:$C,A163,Lançamentos!$B:$B,"Despesa"))</f>
        <v/>
      </c>
      <c r="D163" t="str">
        <f t="shared" si="4"/>
        <v/>
      </c>
      <c r="E163" t="str">
        <f t="shared" si="5"/>
        <v/>
      </c>
    </row>
    <row r="164" spans="3:5" x14ac:dyDescent="0.25">
      <c r="C164" t="str">
        <f>IF(A164="","",SUMIFS(Lançamentos!$E:$E,Lançamentos!$C:$C,A164,Lançamentos!$B:$B,"Despesa"))</f>
        <v/>
      </c>
      <c r="D164" t="str">
        <f t="shared" si="4"/>
        <v/>
      </c>
      <c r="E164" t="str">
        <f t="shared" si="5"/>
        <v/>
      </c>
    </row>
    <row r="165" spans="3:5" x14ac:dyDescent="0.25">
      <c r="C165" t="str">
        <f>IF(A165="","",SUMIFS(Lançamentos!$E:$E,Lançamentos!$C:$C,A165,Lançamentos!$B:$B,"Despesa"))</f>
        <v/>
      </c>
      <c r="D165" t="str">
        <f t="shared" si="4"/>
        <v/>
      </c>
      <c r="E165" t="str">
        <f t="shared" si="5"/>
        <v/>
      </c>
    </row>
    <row r="166" spans="3:5" x14ac:dyDescent="0.25">
      <c r="C166" t="str">
        <f>IF(A166="","",SUMIFS(Lançamentos!$E:$E,Lançamentos!$C:$C,A166,Lançamentos!$B:$B,"Despesa"))</f>
        <v/>
      </c>
      <c r="D166" t="str">
        <f t="shared" si="4"/>
        <v/>
      </c>
      <c r="E166" t="str">
        <f t="shared" si="5"/>
        <v/>
      </c>
    </row>
    <row r="167" spans="3:5" x14ac:dyDescent="0.25">
      <c r="C167" t="str">
        <f>IF(A167="","",SUMIFS(Lançamentos!$E:$E,Lançamentos!$C:$C,A167,Lançamentos!$B:$B,"Despesa"))</f>
        <v/>
      </c>
      <c r="D167" t="str">
        <f t="shared" si="4"/>
        <v/>
      </c>
      <c r="E167" t="str">
        <f t="shared" si="5"/>
        <v/>
      </c>
    </row>
    <row r="168" spans="3:5" x14ac:dyDescent="0.25">
      <c r="C168" t="str">
        <f>IF(A168="","",SUMIFS(Lançamentos!$E:$E,Lançamentos!$C:$C,A168,Lançamentos!$B:$B,"Despesa"))</f>
        <v/>
      </c>
      <c r="D168" t="str">
        <f t="shared" si="4"/>
        <v/>
      </c>
      <c r="E168" t="str">
        <f t="shared" si="5"/>
        <v/>
      </c>
    </row>
    <row r="169" spans="3:5" x14ac:dyDescent="0.25">
      <c r="C169" t="str">
        <f>IF(A169="","",SUMIFS(Lançamentos!$E:$E,Lançamentos!$C:$C,A169,Lançamentos!$B:$B,"Despesa"))</f>
        <v/>
      </c>
      <c r="D169" t="str">
        <f t="shared" si="4"/>
        <v/>
      </c>
      <c r="E169" t="str">
        <f t="shared" si="5"/>
        <v/>
      </c>
    </row>
    <row r="170" spans="3:5" x14ac:dyDescent="0.25">
      <c r="C170" t="str">
        <f>IF(A170="","",SUMIFS(Lançamentos!$E:$E,Lançamentos!$C:$C,A170,Lançamentos!$B:$B,"Despesa"))</f>
        <v/>
      </c>
      <c r="D170" t="str">
        <f t="shared" si="4"/>
        <v/>
      </c>
      <c r="E170" t="str">
        <f t="shared" si="5"/>
        <v/>
      </c>
    </row>
    <row r="171" spans="3:5" x14ac:dyDescent="0.25">
      <c r="C171" t="str">
        <f>IF(A171="","",SUMIFS(Lançamentos!$E:$E,Lançamentos!$C:$C,A171,Lançamentos!$B:$B,"Despesa"))</f>
        <v/>
      </c>
      <c r="D171" t="str">
        <f t="shared" si="4"/>
        <v/>
      </c>
      <c r="E171" t="str">
        <f t="shared" si="5"/>
        <v/>
      </c>
    </row>
    <row r="172" spans="3:5" x14ac:dyDescent="0.25">
      <c r="C172" t="str">
        <f>IF(A172="","",SUMIFS(Lançamentos!$E:$E,Lançamentos!$C:$C,A172,Lançamentos!$B:$B,"Despesa"))</f>
        <v/>
      </c>
      <c r="D172" t="str">
        <f t="shared" si="4"/>
        <v/>
      </c>
      <c r="E172" t="str">
        <f t="shared" si="5"/>
        <v/>
      </c>
    </row>
    <row r="173" spans="3:5" x14ac:dyDescent="0.25">
      <c r="C173" t="str">
        <f>IF(A173="","",SUMIFS(Lançamentos!$E:$E,Lançamentos!$C:$C,A173,Lançamentos!$B:$B,"Despesa"))</f>
        <v/>
      </c>
      <c r="D173" t="str">
        <f t="shared" si="4"/>
        <v/>
      </c>
      <c r="E173" t="str">
        <f t="shared" si="5"/>
        <v/>
      </c>
    </row>
    <row r="174" spans="3:5" x14ac:dyDescent="0.25">
      <c r="C174" t="str">
        <f>IF(A174="","",SUMIFS(Lançamentos!$E:$E,Lançamentos!$C:$C,A174,Lançamentos!$B:$B,"Despesa"))</f>
        <v/>
      </c>
      <c r="D174" t="str">
        <f t="shared" si="4"/>
        <v/>
      </c>
      <c r="E174" t="str">
        <f t="shared" si="5"/>
        <v/>
      </c>
    </row>
    <row r="175" spans="3:5" x14ac:dyDescent="0.25">
      <c r="C175" t="str">
        <f>IF(A175="","",SUMIFS(Lançamentos!$E:$E,Lançamentos!$C:$C,A175,Lançamentos!$B:$B,"Despesa"))</f>
        <v/>
      </c>
      <c r="D175" t="str">
        <f t="shared" si="4"/>
        <v/>
      </c>
      <c r="E175" t="str">
        <f t="shared" si="5"/>
        <v/>
      </c>
    </row>
    <row r="176" spans="3:5" x14ac:dyDescent="0.25">
      <c r="C176" t="str">
        <f>IF(A176="","",SUMIFS(Lançamentos!$E:$E,Lançamentos!$C:$C,A176,Lançamentos!$B:$B,"Despesa"))</f>
        <v/>
      </c>
      <c r="D176" t="str">
        <f t="shared" si="4"/>
        <v/>
      </c>
      <c r="E176" t="str">
        <f t="shared" si="5"/>
        <v/>
      </c>
    </row>
    <row r="177" spans="3:5" x14ac:dyDescent="0.25">
      <c r="C177" t="str">
        <f>IF(A177="","",SUMIFS(Lançamentos!$E:$E,Lançamentos!$C:$C,A177,Lançamentos!$B:$B,"Despesa"))</f>
        <v/>
      </c>
      <c r="D177" t="str">
        <f t="shared" si="4"/>
        <v/>
      </c>
      <c r="E177" t="str">
        <f t="shared" si="5"/>
        <v/>
      </c>
    </row>
    <row r="178" spans="3:5" x14ac:dyDescent="0.25">
      <c r="C178" t="str">
        <f>IF(A178="","",SUMIFS(Lançamentos!$E:$E,Lançamentos!$C:$C,A178,Lançamentos!$B:$B,"Despesa"))</f>
        <v/>
      </c>
      <c r="D178" t="str">
        <f t="shared" si="4"/>
        <v/>
      </c>
      <c r="E178" t="str">
        <f t="shared" si="5"/>
        <v/>
      </c>
    </row>
    <row r="179" spans="3:5" x14ac:dyDescent="0.25">
      <c r="C179" t="str">
        <f>IF(A179="","",SUMIFS(Lançamentos!$E:$E,Lançamentos!$C:$C,A179,Lançamentos!$B:$B,"Despesa"))</f>
        <v/>
      </c>
      <c r="D179" t="str">
        <f t="shared" si="4"/>
        <v/>
      </c>
      <c r="E179" t="str">
        <f t="shared" si="5"/>
        <v/>
      </c>
    </row>
    <row r="180" spans="3:5" x14ac:dyDescent="0.25">
      <c r="C180" t="str">
        <f>IF(A180="","",SUMIFS(Lançamentos!$E:$E,Lançamentos!$C:$C,A180,Lançamentos!$B:$B,"Despesa"))</f>
        <v/>
      </c>
      <c r="D180" t="str">
        <f t="shared" si="4"/>
        <v/>
      </c>
      <c r="E180" t="str">
        <f t="shared" si="5"/>
        <v/>
      </c>
    </row>
    <row r="181" spans="3:5" x14ac:dyDescent="0.25">
      <c r="C181" t="str">
        <f>IF(A181="","",SUMIFS(Lançamentos!$E:$E,Lançamentos!$C:$C,A181,Lançamentos!$B:$B,"Despesa"))</f>
        <v/>
      </c>
      <c r="D181" t="str">
        <f t="shared" si="4"/>
        <v/>
      </c>
      <c r="E181" t="str">
        <f t="shared" si="5"/>
        <v/>
      </c>
    </row>
    <row r="182" spans="3:5" x14ac:dyDescent="0.25">
      <c r="C182" t="str">
        <f>IF(A182="","",SUMIFS(Lançamentos!$E:$E,Lançamentos!$C:$C,A182,Lançamentos!$B:$B,"Despesa"))</f>
        <v/>
      </c>
      <c r="D182" t="str">
        <f t="shared" si="4"/>
        <v/>
      </c>
      <c r="E182" t="str">
        <f t="shared" si="5"/>
        <v/>
      </c>
    </row>
    <row r="183" spans="3:5" x14ac:dyDescent="0.25">
      <c r="C183" t="str">
        <f>IF(A183="","",SUMIFS(Lançamentos!$E:$E,Lançamentos!$C:$C,A183,Lançamentos!$B:$B,"Despesa"))</f>
        <v/>
      </c>
      <c r="D183" t="str">
        <f t="shared" si="4"/>
        <v/>
      </c>
      <c r="E183" t="str">
        <f t="shared" si="5"/>
        <v/>
      </c>
    </row>
    <row r="184" spans="3:5" x14ac:dyDescent="0.25">
      <c r="C184" t="str">
        <f>IF(A184="","",SUMIFS(Lançamentos!$E:$E,Lançamentos!$C:$C,A184,Lançamentos!$B:$B,"Despesa"))</f>
        <v/>
      </c>
      <c r="D184" t="str">
        <f t="shared" si="4"/>
        <v/>
      </c>
      <c r="E184" t="str">
        <f t="shared" si="5"/>
        <v/>
      </c>
    </row>
    <row r="185" spans="3:5" x14ac:dyDescent="0.25">
      <c r="C185" t="str">
        <f>IF(A185="","",SUMIFS(Lançamentos!$E:$E,Lançamentos!$C:$C,A185,Lançamentos!$B:$B,"Despesa"))</f>
        <v/>
      </c>
      <c r="D185" t="str">
        <f t="shared" si="4"/>
        <v/>
      </c>
      <c r="E185" t="str">
        <f t="shared" si="5"/>
        <v/>
      </c>
    </row>
    <row r="186" spans="3:5" x14ac:dyDescent="0.25">
      <c r="C186" t="str">
        <f>IF(A186="","",SUMIFS(Lançamentos!$E:$E,Lançamentos!$C:$C,A186,Lançamentos!$B:$B,"Despesa"))</f>
        <v/>
      </c>
      <c r="D186" t="str">
        <f t="shared" si="4"/>
        <v/>
      </c>
      <c r="E186" t="str">
        <f t="shared" si="5"/>
        <v/>
      </c>
    </row>
    <row r="187" spans="3:5" x14ac:dyDescent="0.25">
      <c r="C187" t="str">
        <f>IF(A187="","",SUMIFS(Lançamentos!$E:$E,Lançamentos!$C:$C,A187,Lançamentos!$B:$B,"Despesa"))</f>
        <v/>
      </c>
      <c r="D187" t="str">
        <f t="shared" si="4"/>
        <v/>
      </c>
      <c r="E187" t="str">
        <f t="shared" si="5"/>
        <v/>
      </c>
    </row>
    <row r="188" spans="3:5" x14ac:dyDescent="0.25">
      <c r="C188" t="str">
        <f>IF(A188="","",SUMIFS(Lançamentos!$E:$E,Lançamentos!$C:$C,A188,Lançamentos!$B:$B,"Despesa"))</f>
        <v/>
      </c>
      <c r="D188" t="str">
        <f t="shared" si="4"/>
        <v/>
      </c>
      <c r="E188" t="str">
        <f t="shared" si="5"/>
        <v/>
      </c>
    </row>
    <row r="189" spans="3:5" x14ac:dyDescent="0.25">
      <c r="C189" t="str">
        <f>IF(A189="","",SUMIFS(Lançamentos!$E:$E,Lançamentos!$C:$C,A189,Lançamentos!$B:$B,"Despesa"))</f>
        <v/>
      </c>
      <c r="D189" t="str">
        <f t="shared" si="4"/>
        <v/>
      </c>
      <c r="E189" t="str">
        <f t="shared" si="5"/>
        <v/>
      </c>
    </row>
    <row r="190" spans="3:5" x14ac:dyDescent="0.25">
      <c r="C190" t="str">
        <f>IF(A190="","",SUMIFS(Lançamentos!$E:$E,Lançamentos!$C:$C,A190,Lançamentos!$B:$B,"Despesa"))</f>
        <v/>
      </c>
      <c r="D190" t="str">
        <f t="shared" si="4"/>
        <v/>
      </c>
      <c r="E190" t="str">
        <f t="shared" si="5"/>
        <v/>
      </c>
    </row>
    <row r="191" spans="3:5" x14ac:dyDescent="0.25">
      <c r="C191" t="str">
        <f>IF(A191="","",SUMIFS(Lançamentos!$E:$E,Lançamentos!$C:$C,A191,Lançamentos!$B:$B,"Despesa"))</f>
        <v/>
      </c>
      <c r="D191" t="str">
        <f t="shared" si="4"/>
        <v/>
      </c>
      <c r="E191" t="str">
        <f t="shared" si="5"/>
        <v/>
      </c>
    </row>
    <row r="192" spans="3:5" x14ac:dyDescent="0.25">
      <c r="C192" t="str">
        <f>IF(A192="","",SUMIFS(Lançamentos!$E:$E,Lançamentos!$C:$C,A192,Lançamentos!$B:$B,"Despesa"))</f>
        <v/>
      </c>
      <c r="D192" t="str">
        <f t="shared" si="4"/>
        <v/>
      </c>
      <c r="E192" t="str">
        <f t="shared" si="5"/>
        <v/>
      </c>
    </row>
    <row r="193" spans="3:5" x14ac:dyDescent="0.25">
      <c r="C193" t="str">
        <f>IF(A193="","",SUMIFS(Lançamentos!$E:$E,Lançamentos!$C:$C,A193,Lançamentos!$B:$B,"Despesa"))</f>
        <v/>
      </c>
      <c r="D193" t="str">
        <f t="shared" si="4"/>
        <v/>
      </c>
      <c r="E193" t="str">
        <f t="shared" si="5"/>
        <v/>
      </c>
    </row>
    <row r="194" spans="3:5" x14ac:dyDescent="0.25">
      <c r="C194" t="str">
        <f>IF(A194="","",SUMIFS(Lançamentos!$E:$E,Lançamentos!$C:$C,A194,Lançamentos!$B:$B,"Despesa"))</f>
        <v/>
      </c>
      <c r="D194" t="str">
        <f t="shared" si="4"/>
        <v/>
      </c>
      <c r="E194" t="str">
        <f t="shared" si="5"/>
        <v/>
      </c>
    </row>
    <row r="195" spans="3:5" x14ac:dyDescent="0.25">
      <c r="C195" t="str">
        <f>IF(A195="","",SUMIFS(Lançamentos!$E:$E,Lançamentos!$C:$C,A195,Lançamentos!$B:$B,"Despesa"))</f>
        <v/>
      </c>
      <c r="D195" t="str">
        <f t="shared" si="4"/>
        <v/>
      </c>
      <c r="E195" t="str">
        <f t="shared" si="5"/>
        <v/>
      </c>
    </row>
    <row r="196" spans="3:5" x14ac:dyDescent="0.25">
      <c r="C196" t="str">
        <f>IF(A196="","",SUMIFS(Lançamentos!$E:$E,Lançamentos!$C:$C,A196,Lançamentos!$B:$B,"Despesa"))</f>
        <v/>
      </c>
      <c r="D196" t="str">
        <f t="shared" si="4"/>
        <v/>
      </c>
      <c r="E196" t="str">
        <f t="shared" si="5"/>
        <v/>
      </c>
    </row>
    <row r="197" spans="3:5" x14ac:dyDescent="0.25">
      <c r="C197" t="str">
        <f>IF(A197="","",SUMIFS(Lançamentos!$E:$E,Lançamentos!$C:$C,A197,Lançamentos!$B:$B,"Despesa"))</f>
        <v/>
      </c>
      <c r="D197" t="str">
        <f t="shared" si="4"/>
        <v/>
      </c>
      <c r="E197" t="str">
        <f t="shared" si="5"/>
        <v/>
      </c>
    </row>
    <row r="198" spans="3:5" x14ac:dyDescent="0.25">
      <c r="C198" t="str">
        <f>IF(A198="","",SUMIFS(Lançamentos!$E:$E,Lançamentos!$C:$C,A198,Lançamentos!$B:$B,"Despesa"))</f>
        <v/>
      </c>
      <c r="D198" t="str">
        <f t="shared" ref="D198:D261" si="6">IF(A198="","",B198-C198)</f>
        <v/>
      </c>
      <c r="E198" t="str">
        <f t="shared" ref="E198:E261" si="7">IF(A198="","",IF(C198&gt;B198,"Acima do Orçamento","Dentro do Orçamento"))</f>
        <v/>
      </c>
    </row>
    <row r="199" spans="3:5" x14ac:dyDescent="0.25">
      <c r="C199" t="str">
        <f>IF(A199="","",SUMIFS(Lançamentos!$E:$E,Lançamentos!$C:$C,A199,Lançamentos!$B:$B,"Despesa"))</f>
        <v/>
      </c>
      <c r="D199" t="str">
        <f t="shared" si="6"/>
        <v/>
      </c>
      <c r="E199" t="str">
        <f t="shared" si="7"/>
        <v/>
      </c>
    </row>
    <row r="200" spans="3:5" x14ac:dyDescent="0.25">
      <c r="C200" t="str">
        <f>IF(A200="","",SUMIFS(Lançamentos!$E:$E,Lançamentos!$C:$C,A200,Lançamentos!$B:$B,"Despesa"))</f>
        <v/>
      </c>
      <c r="D200" t="str">
        <f t="shared" si="6"/>
        <v/>
      </c>
      <c r="E200" t="str">
        <f t="shared" si="7"/>
        <v/>
      </c>
    </row>
    <row r="201" spans="3:5" x14ac:dyDescent="0.25">
      <c r="C201" t="str">
        <f>IF(A201="","",SUMIFS(Lançamentos!$E:$E,Lançamentos!$C:$C,A201,Lançamentos!$B:$B,"Despesa"))</f>
        <v/>
      </c>
      <c r="D201" t="str">
        <f t="shared" si="6"/>
        <v/>
      </c>
      <c r="E201" t="str">
        <f t="shared" si="7"/>
        <v/>
      </c>
    </row>
    <row r="202" spans="3:5" x14ac:dyDescent="0.25">
      <c r="C202" t="str">
        <f>IF(A202="","",SUMIFS(Lançamentos!$E:$E,Lançamentos!$C:$C,A202,Lançamentos!$B:$B,"Despesa"))</f>
        <v/>
      </c>
      <c r="D202" t="str">
        <f t="shared" si="6"/>
        <v/>
      </c>
      <c r="E202" t="str">
        <f t="shared" si="7"/>
        <v/>
      </c>
    </row>
    <row r="203" spans="3:5" x14ac:dyDescent="0.25">
      <c r="C203" t="str">
        <f>IF(A203="","",SUMIFS(Lançamentos!$E:$E,Lançamentos!$C:$C,A203,Lançamentos!$B:$B,"Despesa"))</f>
        <v/>
      </c>
      <c r="D203" t="str">
        <f t="shared" si="6"/>
        <v/>
      </c>
      <c r="E203" t="str">
        <f t="shared" si="7"/>
        <v/>
      </c>
    </row>
    <row r="204" spans="3:5" x14ac:dyDescent="0.25">
      <c r="C204" t="str">
        <f>IF(A204="","",SUMIFS(Lançamentos!$E:$E,Lançamentos!$C:$C,A204,Lançamentos!$B:$B,"Despesa"))</f>
        <v/>
      </c>
      <c r="D204" t="str">
        <f t="shared" si="6"/>
        <v/>
      </c>
      <c r="E204" t="str">
        <f t="shared" si="7"/>
        <v/>
      </c>
    </row>
    <row r="205" spans="3:5" x14ac:dyDescent="0.25">
      <c r="C205" t="str">
        <f>IF(A205="","",SUMIFS(Lançamentos!$E:$E,Lançamentos!$C:$C,A205,Lançamentos!$B:$B,"Despesa"))</f>
        <v/>
      </c>
      <c r="D205" t="str">
        <f t="shared" si="6"/>
        <v/>
      </c>
      <c r="E205" t="str">
        <f t="shared" si="7"/>
        <v/>
      </c>
    </row>
    <row r="206" spans="3:5" x14ac:dyDescent="0.25">
      <c r="C206" t="str">
        <f>IF(A206="","",SUMIFS(Lançamentos!$E:$E,Lançamentos!$C:$C,A206,Lançamentos!$B:$B,"Despesa"))</f>
        <v/>
      </c>
      <c r="D206" t="str">
        <f t="shared" si="6"/>
        <v/>
      </c>
      <c r="E206" t="str">
        <f t="shared" si="7"/>
        <v/>
      </c>
    </row>
    <row r="207" spans="3:5" x14ac:dyDescent="0.25">
      <c r="C207" t="str">
        <f>IF(A207="","",SUMIFS(Lançamentos!$E:$E,Lançamentos!$C:$C,A207,Lançamentos!$B:$B,"Despesa"))</f>
        <v/>
      </c>
      <c r="D207" t="str">
        <f t="shared" si="6"/>
        <v/>
      </c>
      <c r="E207" t="str">
        <f t="shared" si="7"/>
        <v/>
      </c>
    </row>
    <row r="208" spans="3:5" x14ac:dyDescent="0.25">
      <c r="C208" t="str">
        <f>IF(A208="","",SUMIFS(Lançamentos!$E:$E,Lançamentos!$C:$C,A208,Lançamentos!$B:$B,"Despesa"))</f>
        <v/>
      </c>
      <c r="D208" t="str">
        <f t="shared" si="6"/>
        <v/>
      </c>
      <c r="E208" t="str">
        <f t="shared" si="7"/>
        <v/>
      </c>
    </row>
    <row r="209" spans="3:5" x14ac:dyDescent="0.25">
      <c r="C209" t="str">
        <f>IF(A209="","",SUMIFS(Lançamentos!$E:$E,Lançamentos!$C:$C,A209,Lançamentos!$B:$B,"Despesa"))</f>
        <v/>
      </c>
      <c r="D209" t="str">
        <f t="shared" si="6"/>
        <v/>
      </c>
      <c r="E209" t="str">
        <f t="shared" si="7"/>
        <v/>
      </c>
    </row>
    <row r="210" spans="3:5" x14ac:dyDescent="0.25">
      <c r="C210" t="str">
        <f>IF(A210="","",SUMIFS(Lançamentos!$E:$E,Lançamentos!$C:$C,A210,Lançamentos!$B:$B,"Despesa"))</f>
        <v/>
      </c>
      <c r="D210" t="str">
        <f t="shared" si="6"/>
        <v/>
      </c>
      <c r="E210" t="str">
        <f t="shared" si="7"/>
        <v/>
      </c>
    </row>
    <row r="211" spans="3:5" x14ac:dyDescent="0.25">
      <c r="C211" t="str">
        <f>IF(A211="","",SUMIFS(Lançamentos!$E:$E,Lançamentos!$C:$C,A211,Lançamentos!$B:$B,"Despesa"))</f>
        <v/>
      </c>
      <c r="D211" t="str">
        <f t="shared" si="6"/>
        <v/>
      </c>
      <c r="E211" t="str">
        <f t="shared" si="7"/>
        <v/>
      </c>
    </row>
    <row r="212" spans="3:5" x14ac:dyDescent="0.25">
      <c r="C212" t="str">
        <f>IF(A212="","",SUMIFS(Lançamentos!$E:$E,Lançamentos!$C:$C,A212,Lançamentos!$B:$B,"Despesa"))</f>
        <v/>
      </c>
      <c r="D212" t="str">
        <f t="shared" si="6"/>
        <v/>
      </c>
      <c r="E212" t="str">
        <f t="shared" si="7"/>
        <v/>
      </c>
    </row>
    <row r="213" spans="3:5" x14ac:dyDescent="0.25">
      <c r="C213" t="str">
        <f>IF(A213="","",SUMIFS(Lançamentos!$E:$E,Lançamentos!$C:$C,A213,Lançamentos!$B:$B,"Despesa"))</f>
        <v/>
      </c>
      <c r="D213" t="str">
        <f t="shared" si="6"/>
        <v/>
      </c>
      <c r="E213" t="str">
        <f t="shared" si="7"/>
        <v/>
      </c>
    </row>
    <row r="214" spans="3:5" x14ac:dyDescent="0.25">
      <c r="C214" t="str">
        <f>IF(A214="","",SUMIFS(Lançamentos!$E:$E,Lançamentos!$C:$C,A214,Lançamentos!$B:$B,"Despesa"))</f>
        <v/>
      </c>
      <c r="D214" t="str">
        <f t="shared" si="6"/>
        <v/>
      </c>
      <c r="E214" t="str">
        <f t="shared" si="7"/>
        <v/>
      </c>
    </row>
    <row r="215" spans="3:5" x14ac:dyDescent="0.25">
      <c r="C215" t="str">
        <f>IF(A215="","",SUMIFS(Lançamentos!$E:$E,Lançamentos!$C:$C,A215,Lançamentos!$B:$B,"Despesa"))</f>
        <v/>
      </c>
      <c r="D215" t="str">
        <f t="shared" si="6"/>
        <v/>
      </c>
      <c r="E215" t="str">
        <f t="shared" si="7"/>
        <v/>
      </c>
    </row>
    <row r="216" spans="3:5" x14ac:dyDescent="0.25">
      <c r="C216" t="str">
        <f>IF(A216="","",SUMIFS(Lançamentos!$E:$E,Lançamentos!$C:$C,A216,Lançamentos!$B:$B,"Despesa"))</f>
        <v/>
      </c>
      <c r="D216" t="str">
        <f t="shared" si="6"/>
        <v/>
      </c>
      <c r="E216" t="str">
        <f t="shared" si="7"/>
        <v/>
      </c>
    </row>
    <row r="217" spans="3:5" x14ac:dyDescent="0.25">
      <c r="C217" t="str">
        <f>IF(A217="","",SUMIFS(Lançamentos!$E:$E,Lançamentos!$C:$C,A217,Lançamentos!$B:$B,"Despesa"))</f>
        <v/>
      </c>
      <c r="D217" t="str">
        <f t="shared" si="6"/>
        <v/>
      </c>
      <c r="E217" t="str">
        <f t="shared" si="7"/>
        <v/>
      </c>
    </row>
    <row r="218" spans="3:5" x14ac:dyDescent="0.25">
      <c r="C218" t="str">
        <f>IF(A218="","",SUMIFS(Lançamentos!$E:$E,Lançamentos!$C:$C,A218,Lançamentos!$B:$B,"Despesa"))</f>
        <v/>
      </c>
      <c r="D218" t="str">
        <f t="shared" si="6"/>
        <v/>
      </c>
      <c r="E218" t="str">
        <f t="shared" si="7"/>
        <v/>
      </c>
    </row>
    <row r="219" spans="3:5" x14ac:dyDescent="0.25">
      <c r="C219" t="str">
        <f>IF(A219="","",SUMIFS(Lançamentos!$E:$E,Lançamentos!$C:$C,A219,Lançamentos!$B:$B,"Despesa"))</f>
        <v/>
      </c>
      <c r="D219" t="str">
        <f t="shared" si="6"/>
        <v/>
      </c>
      <c r="E219" t="str">
        <f t="shared" si="7"/>
        <v/>
      </c>
    </row>
    <row r="220" spans="3:5" x14ac:dyDescent="0.25">
      <c r="C220" t="str">
        <f>IF(A220="","",SUMIFS(Lançamentos!$E:$E,Lançamentos!$C:$C,A220,Lançamentos!$B:$B,"Despesa"))</f>
        <v/>
      </c>
      <c r="D220" t="str">
        <f t="shared" si="6"/>
        <v/>
      </c>
      <c r="E220" t="str">
        <f t="shared" si="7"/>
        <v/>
      </c>
    </row>
    <row r="221" spans="3:5" x14ac:dyDescent="0.25">
      <c r="C221" t="str">
        <f>IF(A221="","",SUMIFS(Lançamentos!$E:$E,Lançamentos!$C:$C,A221,Lançamentos!$B:$B,"Despesa"))</f>
        <v/>
      </c>
      <c r="D221" t="str">
        <f t="shared" si="6"/>
        <v/>
      </c>
      <c r="E221" t="str">
        <f t="shared" si="7"/>
        <v/>
      </c>
    </row>
    <row r="222" spans="3:5" x14ac:dyDescent="0.25">
      <c r="C222" t="str">
        <f>IF(A222="","",SUMIFS(Lançamentos!$E:$E,Lançamentos!$C:$C,A222,Lançamentos!$B:$B,"Despesa"))</f>
        <v/>
      </c>
      <c r="D222" t="str">
        <f t="shared" si="6"/>
        <v/>
      </c>
      <c r="E222" t="str">
        <f t="shared" si="7"/>
        <v/>
      </c>
    </row>
    <row r="223" spans="3:5" x14ac:dyDescent="0.25">
      <c r="C223" t="str">
        <f>IF(A223="","",SUMIFS(Lançamentos!$E:$E,Lançamentos!$C:$C,A223,Lançamentos!$B:$B,"Despesa"))</f>
        <v/>
      </c>
      <c r="D223" t="str">
        <f t="shared" si="6"/>
        <v/>
      </c>
      <c r="E223" t="str">
        <f t="shared" si="7"/>
        <v/>
      </c>
    </row>
    <row r="224" spans="3:5" x14ac:dyDescent="0.25">
      <c r="C224" t="str">
        <f>IF(A224="","",SUMIFS(Lançamentos!$E:$E,Lançamentos!$C:$C,A224,Lançamentos!$B:$B,"Despesa"))</f>
        <v/>
      </c>
      <c r="D224" t="str">
        <f t="shared" si="6"/>
        <v/>
      </c>
      <c r="E224" t="str">
        <f t="shared" si="7"/>
        <v/>
      </c>
    </row>
    <row r="225" spans="3:5" x14ac:dyDescent="0.25">
      <c r="C225" t="str">
        <f>IF(A225="","",SUMIFS(Lançamentos!$E:$E,Lançamentos!$C:$C,A225,Lançamentos!$B:$B,"Despesa"))</f>
        <v/>
      </c>
      <c r="D225" t="str">
        <f t="shared" si="6"/>
        <v/>
      </c>
      <c r="E225" t="str">
        <f t="shared" si="7"/>
        <v/>
      </c>
    </row>
    <row r="226" spans="3:5" x14ac:dyDescent="0.25">
      <c r="C226" t="str">
        <f>IF(A226="","",SUMIFS(Lançamentos!$E:$E,Lançamentos!$C:$C,A226,Lançamentos!$B:$B,"Despesa"))</f>
        <v/>
      </c>
      <c r="D226" t="str">
        <f t="shared" si="6"/>
        <v/>
      </c>
      <c r="E226" t="str">
        <f t="shared" si="7"/>
        <v/>
      </c>
    </row>
    <row r="227" spans="3:5" x14ac:dyDescent="0.25">
      <c r="C227" t="str">
        <f>IF(A227="","",SUMIFS(Lançamentos!$E:$E,Lançamentos!$C:$C,A227,Lançamentos!$B:$B,"Despesa"))</f>
        <v/>
      </c>
      <c r="D227" t="str">
        <f t="shared" si="6"/>
        <v/>
      </c>
      <c r="E227" t="str">
        <f t="shared" si="7"/>
        <v/>
      </c>
    </row>
    <row r="228" spans="3:5" x14ac:dyDescent="0.25">
      <c r="C228" t="str">
        <f>IF(A228="","",SUMIFS(Lançamentos!$E:$E,Lançamentos!$C:$C,A228,Lançamentos!$B:$B,"Despesa"))</f>
        <v/>
      </c>
      <c r="D228" t="str">
        <f t="shared" si="6"/>
        <v/>
      </c>
      <c r="E228" t="str">
        <f t="shared" si="7"/>
        <v/>
      </c>
    </row>
    <row r="229" spans="3:5" x14ac:dyDescent="0.25">
      <c r="C229" t="str">
        <f>IF(A229="","",SUMIFS(Lançamentos!$E:$E,Lançamentos!$C:$C,A229,Lançamentos!$B:$B,"Despesa"))</f>
        <v/>
      </c>
      <c r="D229" t="str">
        <f t="shared" si="6"/>
        <v/>
      </c>
      <c r="E229" t="str">
        <f t="shared" si="7"/>
        <v/>
      </c>
    </row>
    <row r="230" spans="3:5" x14ac:dyDescent="0.25">
      <c r="C230" t="str">
        <f>IF(A230="","",SUMIFS(Lançamentos!$E:$E,Lançamentos!$C:$C,A230,Lançamentos!$B:$B,"Despesa"))</f>
        <v/>
      </c>
      <c r="D230" t="str">
        <f t="shared" si="6"/>
        <v/>
      </c>
      <c r="E230" t="str">
        <f t="shared" si="7"/>
        <v/>
      </c>
    </row>
    <row r="231" spans="3:5" x14ac:dyDescent="0.25">
      <c r="C231" t="str">
        <f>IF(A231="","",SUMIFS(Lançamentos!$E:$E,Lançamentos!$C:$C,A231,Lançamentos!$B:$B,"Despesa"))</f>
        <v/>
      </c>
      <c r="D231" t="str">
        <f t="shared" si="6"/>
        <v/>
      </c>
      <c r="E231" t="str">
        <f t="shared" si="7"/>
        <v/>
      </c>
    </row>
    <row r="232" spans="3:5" x14ac:dyDescent="0.25">
      <c r="C232" t="str">
        <f>IF(A232="","",SUMIFS(Lançamentos!$E:$E,Lançamentos!$C:$C,A232,Lançamentos!$B:$B,"Despesa"))</f>
        <v/>
      </c>
      <c r="D232" t="str">
        <f t="shared" si="6"/>
        <v/>
      </c>
      <c r="E232" t="str">
        <f t="shared" si="7"/>
        <v/>
      </c>
    </row>
    <row r="233" spans="3:5" x14ac:dyDescent="0.25">
      <c r="C233" t="str">
        <f>IF(A233="","",SUMIFS(Lançamentos!$E:$E,Lançamentos!$C:$C,A233,Lançamentos!$B:$B,"Despesa"))</f>
        <v/>
      </c>
      <c r="D233" t="str">
        <f t="shared" si="6"/>
        <v/>
      </c>
      <c r="E233" t="str">
        <f t="shared" si="7"/>
        <v/>
      </c>
    </row>
    <row r="234" spans="3:5" x14ac:dyDescent="0.25">
      <c r="C234" t="str">
        <f>IF(A234="","",SUMIFS(Lançamentos!$E:$E,Lançamentos!$C:$C,A234,Lançamentos!$B:$B,"Despesa"))</f>
        <v/>
      </c>
      <c r="D234" t="str">
        <f t="shared" si="6"/>
        <v/>
      </c>
      <c r="E234" t="str">
        <f t="shared" si="7"/>
        <v/>
      </c>
    </row>
    <row r="235" spans="3:5" x14ac:dyDescent="0.25">
      <c r="C235" t="str">
        <f>IF(A235="","",SUMIFS(Lançamentos!$E:$E,Lançamentos!$C:$C,A235,Lançamentos!$B:$B,"Despesa"))</f>
        <v/>
      </c>
      <c r="D235" t="str">
        <f t="shared" si="6"/>
        <v/>
      </c>
      <c r="E235" t="str">
        <f t="shared" si="7"/>
        <v/>
      </c>
    </row>
    <row r="236" spans="3:5" x14ac:dyDescent="0.25">
      <c r="C236" t="str">
        <f>IF(A236="","",SUMIFS(Lançamentos!$E:$E,Lançamentos!$C:$C,A236,Lançamentos!$B:$B,"Despesa"))</f>
        <v/>
      </c>
      <c r="D236" t="str">
        <f t="shared" si="6"/>
        <v/>
      </c>
      <c r="E236" t="str">
        <f t="shared" si="7"/>
        <v/>
      </c>
    </row>
    <row r="237" spans="3:5" x14ac:dyDescent="0.25">
      <c r="C237" t="str">
        <f>IF(A237="","",SUMIFS(Lançamentos!$E:$E,Lançamentos!$C:$C,A237,Lançamentos!$B:$B,"Despesa"))</f>
        <v/>
      </c>
      <c r="D237" t="str">
        <f t="shared" si="6"/>
        <v/>
      </c>
      <c r="E237" t="str">
        <f t="shared" si="7"/>
        <v/>
      </c>
    </row>
    <row r="238" spans="3:5" x14ac:dyDescent="0.25">
      <c r="C238" t="str">
        <f>IF(A238="","",SUMIFS(Lançamentos!$E:$E,Lançamentos!$C:$C,A238,Lançamentos!$B:$B,"Despesa"))</f>
        <v/>
      </c>
      <c r="D238" t="str">
        <f t="shared" si="6"/>
        <v/>
      </c>
      <c r="E238" t="str">
        <f t="shared" si="7"/>
        <v/>
      </c>
    </row>
    <row r="239" spans="3:5" x14ac:dyDescent="0.25">
      <c r="C239" t="str">
        <f>IF(A239="","",SUMIFS(Lançamentos!$E:$E,Lançamentos!$C:$C,A239,Lançamentos!$B:$B,"Despesa"))</f>
        <v/>
      </c>
      <c r="D239" t="str">
        <f t="shared" si="6"/>
        <v/>
      </c>
      <c r="E239" t="str">
        <f t="shared" si="7"/>
        <v/>
      </c>
    </row>
    <row r="240" spans="3:5" x14ac:dyDescent="0.25">
      <c r="C240" t="str">
        <f>IF(A240="","",SUMIFS(Lançamentos!$E:$E,Lançamentos!$C:$C,A240,Lançamentos!$B:$B,"Despesa"))</f>
        <v/>
      </c>
      <c r="D240" t="str">
        <f t="shared" si="6"/>
        <v/>
      </c>
      <c r="E240" t="str">
        <f t="shared" si="7"/>
        <v/>
      </c>
    </row>
    <row r="241" spans="3:5" x14ac:dyDescent="0.25">
      <c r="C241" t="str">
        <f>IF(A241="","",SUMIFS(Lançamentos!$E:$E,Lançamentos!$C:$C,A241,Lançamentos!$B:$B,"Despesa"))</f>
        <v/>
      </c>
      <c r="D241" t="str">
        <f t="shared" si="6"/>
        <v/>
      </c>
      <c r="E241" t="str">
        <f t="shared" si="7"/>
        <v/>
      </c>
    </row>
    <row r="242" spans="3:5" x14ac:dyDescent="0.25">
      <c r="C242" t="str">
        <f>IF(A242="","",SUMIFS(Lançamentos!$E:$E,Lançamentos!$C:$C,A242,Lançamentos!$B:$B,"Despesa"))</f>
        <v/>
      </c>
      <c r="D242" t="str">
        <f t="shared" si="6"/>
        <v/>
      </c>
      <c r="E242" t="str">
        <f t="shared" si="7"/>
        <v/>
      </c>
    </row>
    <row r="243" spans="3:5" x14ac:dyDescent="0.25">
      <c r="C243" t="str">
        <f>IF(A243="","",SUMIFS(Lançamentos!$E:$E,Lançamentos!$C:$C,A243,Lançamentos!$B:$B,"Despesa"))</f>
        <v/>
      </c>
      <c r="D243" t="str">
        <f t="shared" si="6"/>
        <v/>
      </c>
      <c r="E243" t="str">
        <f t="shared" si="7"/>
        <v/>
      </c>
    </row>
    <row r="244" spans="3:5" x14ac:dyDescent="0.25">
      <c r="C244" t="str">
        <f>IF(A244="","",SUMIFS(Lançamentos!$E:$E,Lançamentos!$C:$C,A244,Lançamentos!$B:$B,"Despesa"))</f>
        <v/>
      </c>
      <c r="D244" t="str">
        <f t="shared" si="6"/>
        <v/>
      </c>
      <c r="E244" t="str">
        <f t="shared" si="7"/>
        <v/>
      </c>
    </row>
    <row r="245" spans="3:5" x14ac:dyDescent="0.25">
      <c r="C245" t="str">
        <f>IF(A245="","",SUMIFS(Lançamentos!$E:$E,Lançamentos!$C:$C,A245,Lançamentos!$B:$B,"Despesa"))</f>
        <v/>
      </c>
      <c r="D245" t="str">
        <f t="shared" si="6"/>
        <v/>
      </c>
      <c r="E245" t="str">
        <f t="shared" si="7"/>
        <v/>
      </c>
    </row>
    <row r="246" spans="3:5" x14ac:dyDescent="0.25">
      <c r="C246" t="str">
        <f>IF(A246="","",SUMIFS(Lançamentos!$E:$E,Lançamentos!$C:$C,A246,Lançamentos!$B:$B,"Despesa"))</f>
        <v/>
      </c>
      <c r="D246" t="str">
        <f t="shared" si="6"/>
        <v/>
      </c>
      <c r="E246" t="str">
        <f t="shared" si="7"/>
        <v/>
      </c>
    </row>
    <row r="247" spans="3:5" x14ac:dyDescent="0.25">
      <c r="C247" t="str">
        <f>IF(A247="","",SUMIFS(Lançamentos!$E:$E,Lançamentos!$C:$C,A247,Lançamentos!$B:$B,"Despesa"))</f>
        <v/>
      </c>
      <c r="D247" t="str">
        <f t="shared" si="6"/>
        <v/>
      </c>
      <c r="E247" t="str">
        <f t="shared" si="7"/>
        <v/>
      </c>
    </row>
    <row r="248" spans="3:5" x14ac:dyDescent="0.25">
      <c r="C248" t="str">
        <f>IF(A248="","",SUMIFS(Lançamentos!$E:$E,Lançamentos!$C:$C,A248,Lançamentos!$B:$B,"Despesa"))</f>
        <v/>
      </c>
      <c r="D248" t="str">
        <f t="shared" si="6"/>
        <v/>
      </c>
      <c r="E248" t="str">
        <f t="shared" si="7"/>
        <v/>
      </c>
    </row>
    <row r="249" spans="3:5" x14ac:dyDescent="0.25">
      <c r="C249" t="str">
        <f>IF(A249="","",SUMIFS(Lançamentos!$E:$E,Lançamentos!$C:$C,A249,Lançamentos!$B:$B,"Despesa"))</f>
        <v/>
      </c>
      <c r="D249" t="str">
        <f t="shared" si="6"/>
        <v/>
      </c>
      <c r="E249" t="str">
        <f t="shared" si="7"/>
        <v/>
      </c>
    </row>
    <row r="250" spans="3:5" x14ac:dyDescent="0.25">
      <c r="C250" t="str">
        <f>IF(A250="","",SUMIFS(Lançamentos!$E:$E,Lançamentos!$C:$C,A250,Lançamentos!$B:$B,"Despesa"))</f>
        <v/>
      </c>
      <c r="D250" t="str">
        <f t="shared" si="6"/>
        <v/>
      </c>
      <c r="E250" t="str">
        <f t="shared" si="7"/>
        <v/>
      </c>
    </row>
    <row r="251" spans="3:5" x14ac:dyDescent="0.25">
      <c r="C251" t="str">
        <f>IF(A251="","",SUMIFS(Lançamentos!$E:$E,Lançamentos!$C:$C,A251,Lançamentos!$B:$B,"Despesa"))</f>
        <v/>
      </c>
      <c r="D251" t="str">
        <f t="shared" si="6"/>
        <v/>
      </c>
      <c r="E251" t="str">
        <f t="shared" si="7"/>
        <v/>
      </c>
    </row>
    <row r="252" spans="3:5" x14ac:dyDescent="0.25">
      <c r="C252" t="str">
        <f>IF(A252="","",SUMIFS(Lançamentos!$E:$E,Lançamentos!$C:$C,A252,Lançamentos!$B:$B,"Despesa"))</f>
        <v/>
      </c>
      <c r="D252" t="str">
        <f t="shared" si="6"/>
        <v/>
      </c>
      <c r="E252" t="str">
        <f t="shared" si="7"/>
        <v/>
      </c>
    </row>
    <row r="253" spans="3:5" x14ac:dyDescent="0.25">
      <c r="C253" t="str">
        <f>IF(A253="","",SUMIFS(Lançamentos!$E:$E,Lançamentos!$C:$C,A253,Lançamentos!$B:$B,"Despesa"))</f>
        <v/>
      </c>
      <c r="D253" t="str">
        <f t="shared" si="6"/>
        <v/>
      </c>
      <c r="E253" t="str">
        <f t="shared" si="7"/>
        <v/>
      </c>
    </row>
    <row r="254" spans="3:5" x14ac:dyDescent="0.25">
      <c r="C254" t="str">
        <f>IF(A254="","",SUMIFS(Lançamentos!$E:$E,Lançamentos!$C:$C,A254,Lançamentos!$B:$B,"Despesa"))</f>
        <v/>
      </c>
      <c r="D254" t="str">
        <f t="shared" si="6"/>
        <v/>
      </c>
      <c r="E254" t="str">
        <f t="shared" si="7"/>
        <v/>
      </c>
    </row>
    <row r="255" spans="3:5" x14ac:dyDescent="0.25">
      <c r="C255" t="str">
        <f>IF(A255="","",SUMIFS(Lançamentos!$E:$E,Lançamentos!$C:$C,A255,Lançamentos!$B:$B,"Despesa"))</f>
        <v/>
      </c>
      <c r="D255" t="str">
        <f t="shared" si="6"/>
        <v/>
      </c>
      <c r="E255" t="str">
        <f t="shared" si="7"/>
        <v/>
      </c>
    </row>
    <row r="256" spans="3:5" x14ac:dyDescent="0.25">
      <c r="C256" t="str">
        <f>IF(A256="","",SUMIFS(Lançamentos!$E:$E,Lançamentos!$C:$C,A256,Lançamentos!$B:$B,"Despesa"))</f>
        <v/>
      </c>
      <c r="D256" t="str">
        <f t="shared" si="6"/>
        <v/>
      </c>
      <c r="E256" t="str">
        <f t="shared" si="7"/>
        <v/>
      </c>
    </row>
    <row r="257" spans="3:5" x14ac:dyDescent="0.25">
      <c r="C257" t="str">
        <f>IF(A257="","",SUMIFS(Lançamentos!$E:$E,Lançamentos!$C:$C,A257,Lançamentos!$B:$B,"Despesa"))</f>
        <v/>
      </c>
      <c r="D257" t="str">
        <f t="shared" si="6"/>
        <v/>
      </c>
      <c r="E257" t="str">
        <f t="shared" si="7"/>
        <v/>
      </c>
    </row>
    <row r="258" spans="3:5" x14ac:dyDescent="0.25">
      <c r="C258" t="str">
        <f>IF(A258="","",SUMIFS(Lançamentos!$E:$E,Lançamentos!$C:$C,A258,Lançamentos!$B:$B,"Despesa"))</f>
        <v/>
      </c>
      <c r="D258" t="str">
        <f t="shared" si="6"/>
        <v/>
      </c>
      <c r="E258" t="str">
        <f t="shared" si="7"/>
        <v/>
      </c>
    </row>
    <row r="259" spans="3:5" x14ac:dyDescent="0.25">
      <c r="C259" t="str">
        <f>IF(A259="","",SUMIFS(Lançamentos!$E:$E,Lançamentos!$C:$C,A259,Lançamentos!$B:$B,"Despesa"))</f>
        <v/>
      </c>
      <c r="D259" t="str">
        <f t="shared" si="6"/>
        <v/>
      </c>
      <c r="E259" t="str">
        <f t="shared" si="7"/>
        <v/>
      </c>
    </row>
    <row r="260" spans="3:5" x14ac:dyDescent="0.25">
      <c r="C260" t="str">
        <f>IF(A260="","",SUMIFS(Lançamentos!$E:$E,Lançamentos!$C:$C,A260,Lançamentos!$B:$B,"Despesa"))</f>
        <v/>
      </c>
      <c r="D260" t="str">
        <f t="shared" si="6"/>
        <v/>
      </c>
      <c r="E260" t="str">
        <f t="shared" si="7"/>
        <v/>
      </c>
    </row>
    <row r="261" spans="3:5" x14ac:dyDescent="0.25">
      <c r="C261" t="str">
        <f>IF(A261="","",SUMIFS(Lançamentos!$E:$E,Lançamentos!$C:$C,A261,Lançamentos!$B:$B,"Despesa"))</f>
        <v/>
      </c>
      <c r="D261" t="str">
        <f t="shared" si="6"/>
        <v/>
      </c>
      <c r="E261" t="str">
        <f t="shared" si="7"/>
        <v/>
      </c>
    </row>
    <row r="262" spans="3:5" x14ac:dyDescent="0.25">
      <c r="C262" t="str">
        <f>IF(A262="","",SUMIFS(Lançamentos!$E:$E,Lançamentos!$C:$C,A262,Lançamentos!$B:$B,"Despesa"))</f>
        <v/>
      </c>
      <c r="D262" t="str">
        <f t="shared" ref="D262:D325" si="8">IF(A262="","",B262-C262)</f>
        <v/>
      </c>
      <c r="E262" t="str">
        <f t="shared" ref="E262:E325" si="9">IF(A262="","",IF(C262&gt;B262,"Acima do Orçamento","Dentro do Orçamento"))</f>
        <v/>
      </c>
    </row>
    <row r="263" spans="3:5" x14ac:dyDescent="0.25">
      <c r="C263" t="str">
        <f>IF(A263="","",SUMIFS(Lançamentos!$E:$E,Lançamentos!$C:$C,A263,Lançamentos!$B:$B,"Despesa"))</f>
        <v/>
      </c>
      <c r="D263" t="str">
        <f t="shared" si="8"/>
        <v/>
      </c>
      <c r="E263" t="str">
        <f t="shared" si="9"/>
        <v/>
      </c>
    </row>
    <row r="264" spans="3:5" x14ac:dyDescent="0.25">
      <c r="C264" t="str">
        <f>IF(A264="","",SUMIFS(Lançamentos!$E:$E,Lançamentos!$C:$C,A264,Lançamentos!$B:$B,"Despesa"))</f>
        <v/>
      </c>
      <c r="D264" t="str">
        <f t="shared" si="8"/>
        <v/>
      </c>
      <c r="E264" t="str">
        <f t="shared" si="9"/>
        <v/>
      </c>
    </row>
    <row r="265" spans="3:5" x14ac:dyDescent="0.25">
      <c r="C265" t="str">
        <f>IF(A265="","",SUMIFS(Lançamentos!$E:$E,Lançamentos!$C:$C,A265,Lançamentos!$B:$B,"Despesa"))</f>
        <v/>
      </c>
      <c r="D265" t="str">
        <f t="shared" si="8"/>
        <v/>
      </c>
      <c r="E265" t="str">
        <f t="shared" si="9"/>
        <v/>
      </c>
    </row>
    <row r="266" spans="3:5" x14ac:dyDescent="0.25">
      <c r="C266" t="str">
        <f>IF(A266="","",SUMIFS(Lançamentos!$E:$E,Lançamentos!$C:$C,A266,Lançamentos!$B:$B,"Despesa"))</f>
        <v/>
      </c>
      <c r="D266" t="str">
        <f t="shared" si="8"/>
        <v/>
      </c>
      <c r="E266" t="str">
        <f t="shared" si="9"/>
        <v/>
      </c>
    </row>
    <row r="267" spans="3:5" x14ac:dyDescent="0.25">
      <c r="C267" t="str">
        <f>IF(A267="","",SUMIFS(Lançamentos!$E:$E,Lançamentos!$C:$C,A267,Lançamentos!$B:$B,"Despesa"))</f>
        <v/>
      </c>
      <c r="D267" t="str">
        <f t="shared" si="8"/>
        <v/>
      </c>
      <c r="E267" t="str">
        <f t="shared" si="9"/>
        <v/>
      </c>
    </row>
    <row r="268" spans="3:5" x14ac:dyDescent="0.25">
      <c r="C268" t="str">
        <f>IF(A268="","",SUMIFS(Lançamentos!$E:$E,Lançamentos!$C:$C,A268,Lançamentos!$B:$B,"Despesa"))</f>
        <v/>
      </c>
      <c r="D268" t="str">
        <f t="shared" si="8"/>
        <v/>
      </c>
      <c r="E268" t="str">
        <f t="shared" si="9"/>
        <v/>
      </c>
    </row>
    <row r="269" spans="3:5" x14ac:dyDescent="0.25">
      <c r="C269" t="str">
        <f>IF(A269="","",SUMIFS(Lançamentos!$E:$E,Lançamentos!$C:$C,A269,Lançamentos!$B:$B,"Despesa"))</f>
        <v/>
      </c>
      <c r="D269" t="str">
        <f t="shared" si="8"/>
        <v/>
      </c>
      <c r="E269" t="str">
        <f t="shared" si="9"/>
        <v/>
      </c>
    </row>
    <row r="270" spans="3:5" x14ac:dyDescent="0.25">
      <c r="C270" t="str">
        <f>IF(A270="","",SUMIFS(Lançamentos!$E:$E,Lançamentos!$C:$C,A270,Lançamentos!$B:$B,"Despesa"))</f>
        <v/>
      </c>
      <c r="D270" t="str">
        <f t="shared" si="8"/>
        <v/>
      </c>
      <c r="E270" t="str">
        <f t="shared" si="9"/>
        <v/>
      </c>
    </row>
    <row r="271" spans="3:5" x14ac:dyDescent="0.25">
      <c r="C271" t="str">
        <f>IF(A271="","",SUMIFS(Lançamentos!$E:$E,Lançamentos!$C:$C,A271,Lançamentos!$B:$B,"Despesa"))</f>
        <v/>
      </c>
      <c r="D271" t="str">
        <f t="shared" si="8"/>
        <v/>
      </c>
      <c r="E271" t="str">
        <f t="shared" si="9"/>
        <v/>
      </c>
    </row>
    <row r="272" spans="3:5" x14ac:dyDescent="0.25">
      <c r="C272" t="str">
        <f>IF(A272="","",SUMIFS(Lançamentos!$E:$E,Lançamentos!$C:$C,A272,Lançamentos!$B:$B,"Despesa"))</f>
        <v/>
      </c>
      <c r="D272" t="str">
        <f t="shared" si="8"/>
        <v/>
      </c>
      <c r="E272" t="str">
        <f t="shared" si="9"/>
        <v/>
      </c>
    </row>
    <row r="273" spans="3:5" x14ac:dyDescent="0.25">
      <c r="C273" t="str">
        <f>IF(A273="","",SUMIFS(Lançamentos!$E:$E,Lançamentos!$C:$C,A273,Lançamentos!$B:$B,"Despesa"))</f>
        <v/>
      </c>
      <c r="D273" t="str">
        <f t="shared" si="8"/>
        <v/>
      </c>
      <c r="E273" t="str">
        <f t="shared" si="9"/>
        <v/>
      </c>
    </row>
    <row r="274" spans="3:5" x14ac:dyDescent="0.25">
      <c r="C274" t="str">
        <f>IF(A274="","",SUMIFS(Lançamentos!$E:$E,Lançamentos!$C:$C,A274,Lançamentos!$B:$B,"Despesa"))</f>
        <v/>
      </c>
      <c r="D274" t="str">
        <f t="shared" si="8"/>
        <v/>
      </c>
      <c r="E274" t="str">
        <f t="shared" si="9"/>
        <v/>
      </c>
    </row>
    <row r="275" spans="3:5" x14ac:dyDescent="0.25">
      <c r="C275" t="str">
        <f>IF(A275="","",SUMIFS(Lançamentos!$E:$E,Lançamentos!$C:$C,A275,Lançamentos!$B:$B,"Despesa"))</f>
        <v/>
      </c>
      <c r="D275" t="str">
        <f t="shared" si="8"/>
        <v/>
      </c>
      <c r="E275" t="str">
        <f t="shared" si="9"/>
        <v/>
      </c>
    </row>
    <row r="276" spans="3:5" x14ac:dyDescent="0.25">
      <c r="C276" t="str">
        <f>IF(A276="","",SUMIFS(Lançamentos!$E:$E,Lançamentos!$C:$C,A276,Lançamentos!$B:$B,"Despesa"))</f>
        <v/>
      </c>
      <c r="D276" t="str">
        <f t="shared" si="8"/>
        <v/>
      </c>
      <c r="E276" t="str">
        <f t="shared" si="9"/>
        <v/>
      </c>
    </row>
    <row r="277" spans="3:5" x14ac:dyDescent="0.25">
      <c r="C277" t="str">
        <f>IF(A277="","",SUMIFS(Lançamentos!$E:$E,Lançamentos!$C:$C,A277,Lançamentos!$B:$B,"Despesa"))</f>
        <v/>
      </c>
      <c r="D277" t="str">
        <f t="shared" si="8"/>
        <v/>
      </c>
      <c r="E277" t="str">
        <f t="shared" si="9"/>
        <v/>
      </c>
    </row>
    <row r="278" spans="3:5" x14ac:dyDescent="0.25">
      <c r="C278" t="str">
        <f>IF(A278="","",SUMIFS(Lançamentos!$E:$E,Lançamentos!$C:$C,A278,Lançamentos!$B:$B,"Despesa"))</f>
        <v/>
      </c>
      <c r="D278" t="str">
        <f t="shared" si="8"/>
        <v/>
      </c>
      <c r="E278" t="str">
        <f t="shared" si="9"/>
        <v/>
      </c>
    </row>
    <row r="279" spans="3:5" x14ac:dyDescent="0.25">
      <c r="C279" t="str">
        <f>IF(A279="","",SUMIFS(Lançamentos!$E:$E,Lançamentos!$C:$C,A279,Lançamentos!$B:$B,"Despesa"))</f>
        <v/>
      </c>
      <c r="D279" t="str">
        <f t="shared" si="8"/>
        <v/>
      </c>
      <c r="E279" t="str">
        <f t="shared" si="9"/>
        <v/>
      </c>
    </row>
    <row r="280" spans="3:5" x14ac:dyDescent="0.25">
      <c r="C280" t="str">
        <f>IF(A280="","",SUMIFS(Lançamentos!$E:$E,Lançamentos!$C:$C,A280,Lançamentos!$B:$B,"Despesa"))</f>
        <v/>
      </c>
      <c r="D280" t="str">
        <f t="shared" si="8"/>
        <v/>
      </c>
      <c r="E280" t="str">
        <f t="shared" si="9"/>
        <v/>
      </c>
    </row>
    <row r="281" spans="3:5" x14ac:dyDescent="0.25">
      <c r="C281" t="str">
        <f>IF(A281="","",SUMIFS(Lançamentos!$E:$E,Lançamentos!$C:$C,A281,Lançamentos!$B:$B,"Despesa"))</f>
        <v/>
      </c>
      <c r="D281" t="str">
        <f t="shared" si="8"/>
        <v/>
      </c>
      <c r="E281" t="str">
        <f t="shared" si="9"/>
        <v/>
      </c>
    </row>
    <row r="282" spans="3:5" x14ac:dyDescent="0.25">
      <c r="C282" t="str">
        <f>IF(A282="","",SUMIFS(Lançamentos!$E:$E,Lançamentos!$C:$C,A282,Lançamentos!$B:$B,"Despesa"))</f>
        <v/>
      </c>
      <c r="D282" t="str">
        <f t="shared" si="8"/>
        <v/>
      </c>
      <c r="E282" t="str">
        <f t="shared" si="9"/>
        <v/>
      </c>
    </row>
    <row r="283" spans="3:5" x14ac:dyDescent="0.25">
      <c r="C283" t="str">
        <f>IF(A283="","",SUMIFS(Lançamentos!$E:$E,Lançamentos!$C:$C,A283,Lançamentos!$B:$B,"Despesa"))</f>
        <v/>
      </c>
      <c r="D283" t="str">
        <f t="shared" si="8"/>
        <v/>
      </c>
      <c r="E283" t="str">
        <f t="shared" si="9"/>
        <v/>
      </c>
    </row>
    <row r="284" spans="3:5" x14ac:dyDescent="0.25">
      <c r="C284" t="str">
        <f>IF(A284="","",SUMIFS(Lançamentos!$E:$E,Lançamentos!$C:$C,A284,Lançamentos!$B:$B,"Despesa"))</f>
        <v/>
      </c>
      <c r="D284" t="str">
        <f t="shared" si="8"/>
        <v/>
      </c>
      <c r="E284" t="str">
        <f t="shared" si="9"/>
        <v/>
      </c>
    </row>
    <row r="285" spans="3:5" x14ac:dyDescent="0.25">
      <c r="C285" t="str">
        <f>IF(A285="","",SUMIFS(Lançamentos!$E:$E,Lançamentos!$C:$C,A285,Lançamentos!$B:$B,"Despesa"))</f>
        <v/>
      </c>
      <c r="D285" t="str">
        <f t="shared" si="8"/>
        <v/>
      </c>
      <c r="E285" t="str">
        <f t="shared" si="9"/>
        <v/>
      </c>
    </row>
    <row r="286" spans="3:5" x14ac:dyDescent="0.25">
      <c r="C286" t="str">
        <f>IF(A286="","",SUMIFS(Lançamentos!$E:$E,Lançamentos!$C:$C,A286,Lançamentos!$B:$B,"Despesa"))</f>
        <v/>
      </c>
      <c r="D286" t="str">
        <f t="shared" si="8"/>
        <v/>
      </c>
      <c r="E286" t="str">
        <f t="shared" si="9"/>
        <v/>
      </c>
    </row>
    <row r="287" spans="3:5" x14ac:dyDescent="0.25">
      <c r="C287" t="str">
        <f>IF(A287="","",SUMIFS(Lançamentos!$E:$E,Lançamentos!$C:$C,A287,Lançamentos!$B:$B,"Despesa"))</f>
        <v/>
      </c>
      <c r="D287" t="str">
        <f t="shared" si="8"/>
        <v/>
      </c>
      <c r="E287" t="str">
        <f t="shared" si="9"/>
        <v/>
      </c>
    </row>
    <row r="288" spans="3:5" x14ac:dyDescent="0.25">
      <c r="C288" t="str">
        <f>IF(A288="","",SUMIFS(Lançamentos!$E:$E,Lançamentos!$C:$C,A288,Lançamentos!$B:$B,"Despesa"))</f>
        <v/>
      </c>
      <c r="D288" t="str">
        <f t="shared" si="8"/>
        <v/>
      </c>
      <c r="E288" t="str">
        <f t="shared" si="9"/>
        <v/>
      </c>
    </row>
    <row r="289" spans="3:5" x14ac:dyDescent="0.25">
      <c r="C289" t="str">
        <f>IF(A289="","",SUMIFS(Lançamentos!$E:$E,Lançamentos!$C:$C,A289,Lançamentos!$B:$B,"Despesa"))</f>
        <v/>
      </c>
      <c r="D289" t="str">
        <f t="shared" si="8"/>
        <v/>
      </c>
      <c r="E289" t="str">
        <f t="shared" si="9"/>
        <v/>
      </c>
    </row>
    <row r="290" spans="3:5" x14ac:dyDescent="0.25">
      <c r="C290" t="str">
        <f>IF(A290="","",SUMIFS(Lançamentos!$E:$E,Lançamentos!$C:$C,A290,Lançamentos!$B:$B,"Despesa"))</f>
        <v/>
      </c>
      <c r="D290" t="str">
        <f t="shared" si="8"/>
        <v/>
      </c>
      <c r="E290" t="str">
        <f t="shared" si="9"/>
        <v/>
      </c>
    </row>
    <row r="291" spans="3:5" x14ac:dyDescent="0.25">
      <c r="C291" t="str">
        <f>IF(A291="","",SUMIFS(Lançamentos!$E:$E,Lançamentos!$C:$C,A291,Lançamentos!$B:$B,"Despesa"))</f>
        <v/>
      </c>
      <c r="D291" t="str">
        <f t="shared" si="8"/>
        <v/>
      </c>
      <c r="E291" t="str">
        <f t="shared" si="9"/>
        <v/>
      </c>
    </row>
    <row r="292" spans="3:5" x14ac:dyDescent="0.25">
      <c r="C292" t="str">
        <f>IF(A292="","",SUMIFS(Lançamentos!$E:$E,Lançamentos!$C:$C,A292,Lançamentos!$B:$B,"Despesa"))</f>
        <v/>
      </c>
      <c r="D292" t="str">
        <f t="shared" si="8"/>
        <v/>
      </c>
      <c r="E292" t="str">
        <f t="shared" si="9"/>
        <v/>
      </c>
    </row>
    <row r="293" spans="3:5" x14ac:dyDescent="0.25">
      <c r="C293" t="str">
        <f>IF(A293="","",SUMIFS(Lançamentos!$E:$E,Lançamentos!$C:$C,A293,Lançamentos!$B:$B,"Despesa"))</f>
        <v/>
      </c>
      <c r="D293" t="str">
        <f t="shared" si="8"/>
        <v/>
      </c>
      <c r="E293" t="str">
        <f t="shared" si="9"/>
        <v/>
      </c>
    </row>
    <row r="294" spans="3:5" x14ac:dyDescent="0.25">
      <c r="C294" t="str">
        <f>IF(A294="","",SUMIFS(Lançamentos!$E:$E,Lançamentos!$C:$C,A294,Lançamentos!$B:$B,"Despesa"))</f>
        <v/>
      </c>
      <c r="D294" t="str">
        <f t="shared" si="8"/>
        <v/>
      </c>
      <c r="E294" t="str">
        <f t="shared" si="9"/>
        <v/>
      </c>
    </row>
    <row r="295" spans="3:5" x14ac:dyDescent="0.25">
      <c r="C295" t="str">
        <f>IF(A295="","",SUMIFS(Lançamentos!$E:$E,Lançamentos!$C:$C,A295,Lançamentos!$B:$B,"Despesa"))</f>
        <v/>
      </c>
      <c r="D295" t="str">
        <f t="shared" si="8"/>
        <v/>
      </c>
      <c r="E295" t="str">
        <f t="shared" si="9"/>
        <v/>
      </c>
    </row>
    <row r="296" spans="3:5" x14ac:dyDescent="0.25">
      <c r="C296" t="str">
        <f>IF(A296="","",SUMIFS(Lançamentos!$E:$E,Lançamentos!$C:$C,A296,Lançamentos!$B:$B,"Despesa"))</f>
        <v/>
      </c>
      <c r="D296" t="str">
        <f t="shared" si="8"/>
        <v/>
      </c>
      <c r="E296" t="str">
        <f t="shared" si="9"/>
        <v/>
      </c>
    </row>
    <row r="297" spans="3:5" x14ac:dyDescent="0.25">
      <c r="C297" t="str">
        <f>IF(A297="","",SUMIFS(Lançamentos!$E:$E,Lançamentos!$C:$C,A297,Lançamentos!$B:$B,"Despesa"))</f>
        <v/>
      </c>
      <c r="D297" t="str">
        <f t="shared" si="8"/>
        <v/>
      </c>
      <c r="E297" t="str">
        <f t="shared" si="9"/>
        <v/>
      </c>
    </row>
    <row r="298" spans="3:5" x14ac:dyDescent="0.25">
      <c r="C298" t="str">
        <f>IF(A298="","",SUMIFS(Lançamentos!$E:$E,Lançamentos!$C:$C,A298,Lançamentos!$B:$B,"Despesa"))</f>
        <v/>
      </c>
      <c r="D298" t="str">
        <f t="shared" si="8"/>
        <v/>
      </c>
      <c r="E298" t="str">
        <f t="shared" si="9"/>
        <v/>
      </c>
    </row>
    <row r="299" spans="3:5" x14ac:dyDescent="0.25">
      <c r="C299" t="str">
        <f>IF(A299="","",SUMIFS(Lançamentos!$E:$E,Lançamentos!$C:$C,A299,Lançamentos!$B:$B,"Despesa"))</f>
        <v/>
      </c>
      <c r="D299" t="str">
        <f t="shared" si="8"/>
        <v/>
      </c>
      <c r="E299" t="str">
        <f t="shared" si="9"/>
        <v/>
      </c>
    </row>
    <row r="300" spans="3:5" x14ac:dyDescent="0.25">
      <c r="C300" t="str">
        <f>IF(A300="","",SUMIFS(Lançamentos!$E:$E,Lançamentos!$C:$C,A300,Lançamentos!$B:$B,"Despesa"))</f>
        <v/>
      </c>
      <c r="D300" t="str">
        <f t="shared" si="8"/>
        <v/>
      </c>
      <c r="E300" t="str">
        <f t="shared" si="9"/>
        <v/>
      </c>
    </row>
    <row r="301" spans="3:5" x14ac:dyDescent="0.25">
      <c r="C301" t="str">
        <f>IF(A301="","",SUMIFS(Lançamentos!$E:$E,Lançamentos!$C:$C,A301,Lançamentos!$B:$B,"Despesa"))</f>
        <v/>
      </c>
      <c r="D301" t="str">
        <f t="shared" si="8"/>
        <v/>
      </c>
      <c r="E301" t="str">
        <f t="shared" si="9"/>
        <v/>
      </c>
    </row>
    <row r="302" spans="3:5" x14ac:dyDescent="0.25">
      <c r="C302" t="str">
        <f>IF(A302="","",SUMIFS(Lançamentos!$E:$E,Lançamentos!$C:$C,A302,Lançamentos!$B:$B,"Despesa"))</f>
        <v/>
      </c>
      <c r="D302" t="str">
        <f t="shared" si="8"/>
        <v/>
      </c>
      <c r="E302" t="str">
        <f t="shared" si="9"/>
        <v/>
      </c>
    </row>
    <row r="303" spans="3:5" x14ac:dyDescent="0.25">
      <c r="C303" t="str">
        <f>IF(A303="","",SUMIFS(Lançamentos!$E:$E,Lançamentos!$C:$C,A303,Lançamentos!$B:$B,"Despesa"))</f>
        <v/>
      </c>
      <c r="D303" t="str">
        <f t="shared" si="8"/>
        <v/>
      </c>
      <c r="E303" t="str">
        <f t="shared" si="9"/>
        <v/>
      </c>
    </row>
    <row r="304" spans="3:5" x14ac:dyDescent="0.25">
      <c r="C304" t="str">
        <f>IF(A304="","",SUMIFS(Lançamentos!$E:$E,Lançamentos!$C:$C,A304,Lançamentos!$B:$B,"Despesa"))</f>
        <v/>
      </c>
      <c r="D304" t="str">
        <f t="shared" si="8"/>
        <v/>
      </c>
      <c r="E304" t="str">
        <f t="shared" si="9"/>
        <v/>
      </c>
    </row>
    <row r="305" spans="3:5" x14ac:dyDescent="0.25">
      <c r="C305" t="str">
        <f>IF(A305="","",SUMIFS(Lançamentos!$E:$E,Lançamentos!$C:$C,A305,Lançamentos!$B:$B,"Despesa"))</f>
        <v/>
      </c>
      <c r="D305" t="str">
        <f t="shared" si="8"/>
        <v/>
      </c>
      <c r="E305" t="str">
        <f t="shared" si="9"/>
        <v/>
      </c>
    </row>
    <row r="306" spans="3:5" x14ac:dyDescent="0.25">
      <c r="C306" t="str">
        <f>IF(A306="","",SUMIFS(Lançamentos!$E:$E,Lançamentos!$C:$C,A306,Lançamentos!$B:$B,"Despesa"))</f>
        <v/>
      </c>
      <c r="D306" t="str">
        <f t="shared" si="8"/>
        <v/>
      </c>
      <c r="E306" t="str">
        <f t="shared" si="9"/>
        <v/>
      </c>
    </row>
    <row r="307" spans="3:5" x14ac:dyDescent="0.25">
      <c r="C307" t="str">
        <f>IF(A307="","",SUMIFS(Lançamentos!$E:$E,Lançamentos!$C:$C,A307,Lançamentos!$B:$B,"Despesa"))</f>
        <v/>
      </c>
      <c r="D307" t="str">
        <f t="shared" si="8"/>
        <v/>
      </c>
      <c r="E307" t="str">
        <f t="shared" si="9"/>
        <v/>
      </c>
    </row>
    <row r="308" spans="3:5" x14ac:dyDescent="0.25">
      <c r="C308" t="str">
        <f>IF(A308="","",SUMIFS(Lançamentos!$E:$E,Lançamentos!$C:$C,A308,Lançamentos!$B:$B,"Despesa"))</f>
        <v/>
      </c>
      <c r="D308" t="str">
        <f t="shared" si="8"/>
        <v/>
      </c>
      <c r="E308" t="str">
        <f t="shared" si="9"/>
        <v/>
      </c>
    </row>
    <row r="309" spans="3:5" x14ac:dyDescent="0.25">
      <c r="C309" t="str">
        <f>IF(A309="","",SUMIFS(Lançamentos!$E:$E,Lançamentos!$C:$C,A309,Lançamentos!$B:$B,"Despesa"))</f>
        <v/>
      </c>
      <c r="D309" t="str">
        <f t="shared" si="8"/>
        <v/>
      </c>
      <c r="E309" t="str">
        <f t="shared" si="9"/>
        <v/>
      </c>
    </row>
    <row r="310" spans="3:5" x14ac:dyDescent="0.25">
      <c r="C310" t="str">
        <f>IF(A310="","",SUMIFS(Lançamentos!$E:$E,Lançamentos!$C:$C,A310,Lançamentos!$B:$B,"Despesa"))</f>
        <v/>
      </c>
      <c r="D310" t="str">
        <f t="shared" si="8"/>
        <v/>
      </c>
      <c r="E310" t="str">
        <f t="shared" si="9"/>
        <v/>
      </c>
    </row>
    <row r="311" spans="3:5" x14ac:dyDescent="0.25">
      <c r="C311" t="str">
        <f>IF(A311="","",SUMIFS(Lançamentos!$E:$E,Lançamentos!$C:$C,A311,Lançamentos!$B:$B,"Despesa"))</f>
        <v/>
      </c>
      <c r="D311" t="str">
        <f t="shared" si="8"/>
        <v/>
      </c>
      <c r="E311" t="str">
        <f t="shared" si="9"/>
        <v/>
      </c>
    </row>
    <row r="312" spans="3:5" x14ac:dyDescent="0.25">
      <c r="C312" t="str">
        <f>IF(A312="","",SUMIFS(Lançamentos!$E:$E,Lançamentos!$C:$C,A312,Lançamentos!$B:$B,"Despesa"))</f>
        <v/>
      </c>
      <c r="D312" t="str">
        <f t="shared" si="8"/>
        <v/>
      </c>
      <c r="E312" t="str">
        <f t="shared" si="9"/>
        <v/>
      </c>
    </row>
    <row r="313" spans="3:5" x14ac:dyDescent="0.25">
      <c r="C313" t="str">
        <f>IF(A313="","",SUMIFS(Lançamentos!$E:$E,Lançamentos!$C:$C,A313,Lançamentos!$B:$B,"Despesa"))</f>
        <v/>
      </c>
      <c r="D313" t="str">
        <f t="shared" si="8"/>
        <v/>
      </c>
      <c r="E313" t="str">
        <f t="shared" si="9"/>
        <v/>
      </c>
    </row>
    <row r="314" spans="3:5" x14ac:dyDescent="0.25">
      <c r="C314" t="str">
        <f>IF(A314="","",SUMIFS(Lançamentos!$E:$E,Lançamentos!$C:$C,A314,Lançamentos!$B:$B,"Despesa"))</f>
        <v/>
      </c>
      <c r="D314" t="str">
        <f t="shared" si="8"/>
        <v/>
      </c>
      <c r="E314" t="str">
        <f t="shared" si="9"/>
        <v/>
      </c>
    </row>
    <row r="315" spans="3:5" x14ac:dyDescent="0.25">
      <c r="C315" t="str">
        <f>IF(A315="","",SUMIFS(Lançamentos!$E:$E,Lançamentos!$C:$C,A315,Lançamentos!$B:$B,"Despesa"))</f>
        <v/>
      </c>
      <c r="D315" t="str">
        <f t="shared" si="8"/>
        <v/>
      </c>
      <c r="E315" t="str">
        <f t="shared" si="9"/>
        <v/>
      </c>
    </row>
    <row r="316" spans="3:5" x14ac:dyDescent="0.25">
      <c r="C316" t="str">
        <f>IF(A316="","",SUMIFS(Lançamentos!$E:$E,Lançamentos!$C:$C,A316,Lançamentos!$B:$B,"Despesa"))</f>
        <v/>
      </c>
      <c r="D316" t="str">
        <f t="shared" si="8"/>
        <v/>
      </c>
      <c r="E316" t="str">
        <f t="shared" si="9"/>
        <v/>
      </c>
    </row>
    <row r="317" spans="3:5" x14ac:dyDescent="0.25">
      <c r="C317" t="str">
        <f>IF(A317="","",SUMIFS(Lançamentos!$E:$E,Lançamentos!$C:$C,A317,Lançamentos!$B:$B,"Despesa"))</f>
        <v/>
      </c>
      <c r="D317" t="str">
        <f t="shared" si="8"/>
        <v/>
      </c>
      <c r="E317" t="str">
        <f t="shared" si="9"/>
        <v/>
      </c>
    </row>
    <row r="318" spans="3:5" x14ac:dyDescent="0.25">
      <c r="C318" t="str">
        <f>IF(A318="","",SUMIFS(Lançamentos!$E:$E,Lançamentos!$C:$C,A318,Lançamentos!$B:$B,"Despesa"))</f>
        <v/>
      </c>
      <c r="D318" t="str">
        <f t="shared" si="8"/>
        <v/>
      </c>
      <c r="E318" t="str">
        <f t="shared" si="9"/>
        <v/>
      </c>
    </row>
    <row r="319" spans="3:5" x14ac:dyDescent="0.25">
      <c r="C319" t="str">
        <f>IF(A319="","",SUMIFS(Lançamentos!$E:$E,Lançamentos!$C:$C,A319,Lançamentos!$B:$B,"Despesa"))</f>
        <v/>
      </c>
      <c r="D319" t="str">
        <f t="shared" si="8"/>
        <v/>
      </c>
      <c r="E319" t="str">
        <f t="shared" si="9"/>
        <v/>
      </c>
    </row>
    <row r="320" spans="3:5" x14ac:dyDescent="0.25">
      <c r="C320" t="str">
        <f>IF(A320="","",SUMIFS(Lançamentos!$E:$E,Lançamentos!$C:$C,A320,Lançamentos!$B:$B,"Despesa"))</f>
        <v/>
      </c>
      <c r="D320" t="str">
        <f t="shared" si="8"/>
        <v/>
      </c>
      <c r="E320" t="str">
        <f t="shared" si="9"/>
        <v/>
      </c>
    </row>
    <row r="321" spans="3:5" x14ac:dyDescent="0.25">
      <c r="C321" t="str">
        <f>IF(A321="","",SUMIFS(Lançamentos!$E:$E,Lançamentos!$C:$C,A321,Lançamentos!$B:$B,"Despesa"))</f>
        <v/>
      </c>
      <c r="D321" t="str">
        <f t="shared" si="8"/>
        <v/>
      </c>
      <c r="E321" t="str">
        <f t="shared" si="9"/>
        <v/>
      </c>
    </row>
    <row r="322" spans="3:5" x14ac:dyDescent="0.25">
      <c r="C322" t="str">
        <f>IF(A322="","",SUMIFS(Lançamentos!$E:$E,Lançamentos!$C:$C,A322,Lançamentos!$B:$B,"Despesa"))</f>
        <v/>
      </c>
      <c r="D322" t="str">
        <f t="shared" si="8"/>
        <v/>
      </c>
      <c r="E322" t="str">
        <f t="shared" si="9"/>
        <v/>
      </c>
    </row>
    <row r="323" spans="3:5" x14ac:dyDescent="0.25">
      <c r="C323" t="str">
        <f>IF(A323="","",SUMIFS(Lançamentos!$E:$E,Lançamentos!$C:$C,A323,Lançamentos!$B:$B,"Despesa"))</f>
        <v/>
      </c>
      <c r="D323" t="str">
        <f t="shared" si="8"/>
        <v/>
      </c>
      <c r="E323" t="str">
        <f t="shared" si="9"/>
        <v/>
      </c>
    </row>
    <row r="324" spans="3:5" x14ac:dyDescent="0.25">
      <c r="C324" t="str">
        <f>IF(A324="","",SUMIFS(Lançamentos!$E:$E,Lançamentos!$C:$C,A324,Lançamentos!$B:$B,"Despesa"))</f>
        <v/>
      </c>
      <c r="D324" t="str">
        <f t="shared" si="8"/>
        <v/>
      </c>
      <c r="E324" t="str">
        <f t="shared" si="9"/>
        <v/>
      </c>
    </row>
    <row r="325" spans="3:5" x14ac:dyDescent="0.25">
      <c r="C325" t="str">
        <f>IF(A325="","",SUMIFS(Lançamentos!$E:$E,Lançamentos!$C:$C,A325,Lançamentos!$B:$B,"Despesa"))</f>
        <v/>
      </c>
      <c r="D325" t="str">
        <f t="shared" si="8"/>
        <v/>
      </c>
      <c r="E325" t="str">
        <f t="shared" si="9"/>
        <v/>
      </c>
    </row>
    <row r="326" spans="3:5" x14ac:dyDescent="0.25">
      <c r="C326" t="str">
        <f>IF(A326="","",SUMIFS(Lançamentos!$E:$E,Lançamentos!$C:$C,A326,Lançamentos!$B:$B,"Despesa"))</f>
        <v/>
      </c>
      <c r="D326" t="str">
        <f t="shared" ref="D326:D389" si="10">IF(A326="","",B326-C326)</f>
        <v/>
      </c>
      <c r="E326" t="str">
        <f t="shared" ref="E326:E389" si="11">IF(A326="","",IF(C326&gt;B326,"Acima do Orçamento","Dentro do Orçamento"))</f>
        <v/>
      </c>
    </row>
    <row r="327" spans="3:5" x14ac:dyDescent="0.25">
      <c r="C327" t="str">
        <f>IF(A327="","",SUMIFS(Lançamentos!$E:$E,Lançamentos!$C:$C,A327,Lançamentos!$B:$B,"Despesa"))</f>
        <v/>
      </c>
      <c r="D327" t="str">
        <f t="shared" si="10"/>
        <v/>
      </c>
      <c r="E327" t="str">
        <f t="shared" si="11"/>
        <v/>
      </c>
    </row>
    <row r="328" spans="3:5" x14ac:dyDescent="0.25">
      <c r="C328" t="str">
        <f>IF(A328="","",SUMIFS(Lançamentos!$E:$E,Lançamentos!$C:$C,A328,Lançamentos!$B:$B,"Despesa"))</f>
        <v/>
      </c>
      <c r="D328" t="str">
        <f t="shared" si="10"/>
        <v/>
      </c>
      <c r="E328" t="str">
        <f t="shared" si="11"/>
        <v/>
      </c>
    </row>
    <row r="329" spans="3:5" x14ac:dyDescent="0.25">
      <c r="C329" t="str">
        <f>IF(A329="","",SUMIFS(Lançamentos!$E:$E,Lançamentos!$C:$C,A329,Lançamentos!$B:$B,"Despesa"))</f>
        <v/>
      </c>
      <c r="D329" t="str">
        <f t="shared" si="10"/>
        <v/>
      </c>
      <c r="E329" t="str">
        <f t="shared" si="11"/>
        <v/>
      </c>
    </row>
    <row r="330" spans="3:5" x14ac:dyDescent="0.25">
      <c r="C330" t="str">
        <f>IF(A330="","",SUMIFS(Lançamentos!$E:$E,Lançamentos!$C:$C,A330,Lançamentos!$B:$B,"Despesa"))</f>
        <v/>
      </c>
      <c r="D330" t="str">
        <f t="shared" si="10"/>
        <v/>
      </c>
      <c r="E330" t="str">
        <f t="shared" si="11"/>
        <v/>
      </c>
    </row>
    <row r="331" spans="3:5" x14ac:dyDescent="0.25">
      <c r="C331" t="str">
        <f>IF(A331="","",SUMIFS(Lançamentos!$E:$E,Lançamentos!$C:$C,A331,Lançamentos!$B:$B,"Despesa"))</f>
        <v/>
      </c>
      <c r="D331" t="str">
        <f t="shared" si="10"/>
        <v/>
      </c>
      <c r="E331" t="str">
        <f t="shared" si="11"/>
        <v/>
      </c>
    </row>
    <row r="332" spans="3:5" x14ac:dyDescent="0.25">
      <c r="C332" t="str">
        <f>IF(A332="","",SUMIFS(Lançamentos!$E:$E,Lançamentos!$C:$C,A332,Lançamentos!$B:$B,"Despesa"))</f>
        <v/>
      </c>
      <c r="D332" t="str">
        <f t="shared" si="10"/>
        <v/>
      </c>
      <c r="E332" t="str">
        <f t="shared" si="11"/>
        <v/>
      </c>
    </row>
    <row r="333" spans="3:5" x14ac:dyDescent="0.25">
      <c r="C333" t="str">
        <f>IF(A333="","",SUMIFS(Lançamentos!$E:$E,Lançamentos!$C:$C,A333,Lançamentos!$B:$B,"Despesa"))</f>
        <v/>
      </c>
      <c r="D333" t="str">
        <f t="shared" si="10"/>
        <v/>
      </c>
      <c r="E333" t="str">
        <f t="shared" si="11"/>
        <v/>
      </c>
    </row>
    <row r="334" spans="3:5" x14ac:dyDescent="0.25">
      <c r="C334" t="str">
        <f>IF(A334="","",SUMIFS(Lançamentos!$E:$E,Lançamentos!$C:$C,A334,Lançamentos!$B:$B,"Despesa"))</f>
        <v/>
      </c>
      <c r="D334" t="str">
        <f t="shared" si="10"/>
        <v/>
      </c>
      <c r="E334" t="str">
        <f t="shared" si="11"/>
        <v/>
      </c>
    </row>
    <row r="335" spans="3:5" x14ac:dyDescent="0.25">
      <c r="C335" t="str">
        <f>IF(A335="","",SUMIFS(Lançamentos!$E:$E,Lançamentos!$C:$C,A335,Lançamentos!$B:$B,"Despesa"))</f>
        <v/>
      </c>
      <c r="D335" t="str">
        <f t="shared" si="10"/>
        <v/>
      </c>
      <c r="E335" t="str">
        <f t="shared" si="11"/>
        <v/>
      </c>
    </row>
    <row r="336" spans="3:5" x14ac:dyDescent="0.25">
      <c r="C336" t="str">
        <f>IF(A336="","",SUMIFS(Lançamentos!$E:$E,Lançamentos!$C:$C,A336,Lançamentos!$B:$B,"Despesa"))</f>
        <v/>
      </c>
      <c r="D336" t="str">
        <f t="shared" si="10"/>
        <v/>
      </c>
      <c r="E336" t="str">
        <f t="shared" si="11"/>
        <v/>
      </c>
    </row>
    <row r="337" spans="3:5" x14ac:dyDescent="0.25">
      <c r="C337" t="str">
        <f>IF(A337="","",SUMIFS(Lançamentos!$E:$E,Lançamentos!$C:$C,A337,Lançamentos!$B:$B,"Despesa"))</f>
        <v/>
      </c>
      <c r="D337" t="str">
        <f t="shared" si="10"/>
        <v/>
      </c>
      <c r="E337" t="str">
        <f t="shared" si="11"/>
        <v/>
      </c>
    </row>
    <row r="338" spans="3:5" x14ac:dyDescent="0.25">
      <c r="C338" t="str">
        <f>IF(A338="","",SUMIFS(Lançamentos!$E:$E,Lançamentos!$C:$C,A338,Lançamentos!$B:$B,"Despesa"))</f>
        <v/>
      </c>
      <c r="D338" t="str">
        <f t="shared" si="10"/>
        <v/>
      </c>
      <c r="E338" t="str">
        <f t="shared" si="11"/>
        <v/>
      </c>
    </row>
    <row r="339" spans="3:5" x14ac:dyDescent="0.25">
      <c r="C339" t="str">
        <f>IF(A339="","",SUMIFS(Lançamentos!$E:$E,Lançamentos!$C:$C,A339,Lançamentos!$B:$B,"Despesa"))</f>
        <v/>
      </c>
      <c r="D339" t="str">
        <f t="shared" si="10"/>
        <v/>
      </c>
      <c r="E339" t="str">
        <f t="shared" si="11"/>
        <v/>
      </c>
    </row>
    <row r="340" spans="3:5" x14ac:dyDescent="0.25">
      <c r="C340" t="str">
        <f>IF(A340="","",SUMIFS(Lançamentos!$E:$E,Lançamentos!$C:$C,A340,Lançamentos!$B:$B,"Despesa"))</f>
        <v/>
      </c>
      <c r="D340" t="str">
        <f t="shared" si="10"/>
        <v/>
      </c>
      <c r="E340" t="str">
        <f t="shared" si="11"/>
        <v/>
      </c>
    </row>
    <row r="341" spans="3:5" x14ac:dyDescent="0.25">
      <c r="C341" t="str">
        <f>IF(A341="","",SUMIFS(Lançamentos!$E:$E,Lançamentos!$C:$C,A341,Lançamentos!$B:$B,"Despesa"))</f>
        <v/>
      </c>
      <c r="D341" t="str">
        <f t="shared" si="10"/>
        <v/>
      </c>
      <c r="E341" t="str">
        <f t="shared" si="11"/>
        <v/>
      </c>
    </row>
    <row r="342" spans="3:5" x14ac:dyDescent="0.25">
      <c r="C342" t="str">
        <f>IF(A342="","",SUMIFS(Lançamentos!$E:$E,Lançamentos!$C:$C,A342,Lançamentos!$B:$B,"Despesa"))</f>
        <v/>
      </c>
      <c r="D342" t="str">
        <f t="shared" si="10"/>
        <v/>
      </c>
      <c r="E342" t="str">
        <f t="shared" si="11"/>
        <v/>
      </c>
    </row>
    <row r="343" spans="3:5" x14ac:dyDescent="0.25">
      <c r="C343" t="str">
        <f>IF(A343="","",SUMIFS(Lançamentos!$E:$E,Lançamentos!$C:$C,A343,Lançamentos!$B:$B,"Despesa"))</f>
        <v/>
      </c>
      <c r="D343" t="str">
        <f t="shared" si="10"/>
        <v/>
      </c>
      <c r="E343" t="str">
        <f t="shared" si="11"/>
        <v/>
      </c>
    </row>
    <row r="344" spans="3:5" x14ac:dyDescent="0.25">
      <c r="C344" t="str">
        <f>IF(A344="","",SUMIFS(Lançamentos!$E:$E,Lançamentos!$C:$C,A344,Lançamentos!$B:$B,"Despesa"))</f>
        <v/>
      </c>
      <c r="D344" t="str">
        <f t="shared" si="10"/>
        <v/>
      </c>
      <c r="E344" t="str">
        <f t="shared" si="11"/>
        <v/>
      </c>
    </row>
    <row r="345" spans="3:5" x14ac:dyDescent="0.25">
      <c r="C345" t="str">
        <f>IF(A345="","",SUMIFS(Lançamentos!$E:$E,Lançamentos!$C:$C,A345,Lançamentos!$B:$B,"Despesa"))</f>
        <v/>
      </c>
      <c r="D345" t="str">
        <f t="shared" si="10"/>
        <v/>
      </c>
      <c r="E345" t="str">
        <f t="shared" si="11"/>
        <v/>
      </c>
    </row>
    <row r="346" spans="3:5" x14ac:dyDescent="0.25">
      <c r="C346" t="str">
        <f>IF(A346="","",SUMIFS(Lançamentos!$E:$E,Lançamentos!$C:$C,A346,Lançamentos!$B:$B,"Despesa"))</f>
        <v/>
      </c>
      <c r="D346" t="str">
        <f t="shared" si="10"/>
        <v/>
      </c>
      <c r="E346" t="str">
        <f t="shared" si="11"/>
        <v/>
      </c>
    </row>
    <row r="347" spans="3:5" x14ac:dyDescent="0.25">
      <c r="C347" t="str">
        <f>IF(A347="","",SUMIFS(Lançamentos!$E:$E,Lançamentos!$C:$C,A347,Lançamentos!$B:$B,"Despesa"))</f>
        <v/>
      </c>
      <c r="D347" t="str">
        <f t="shared" si="10"/>
        <v/>
      </c>
      <c r="E347" t="str">
        <f t="shared" si="11"/>
        <v/>
      </c>
    </row>
    <row r="348" spans="3:5" x14ac:dyDescent="0.25">
      <c r="C348" t="str">
        <f>IF(A348="","",SUMIFS(Lançamentos!$E:$E,Lançamentos!$C:$C,A348,Lançamentos!$B:$B,"Despesa"))</f>
        <v/>
      </c>
      <c r="D348" t="str">
        <f t="shared" si="10"/>
        <v/>
      </c>
      <c r="E348" t="str">
        <f t="shared" si="11"/>
        <v/>
      </c>
    </row>
    <row r="349" spans="3:5" x14ac:dyDescent="0.25">
      <c r="C349" t="str">
        <f>IF(A349="","",SUMIFS(Lançamentos!$E:$E,Lançamentos!$C:$C,A349,Lançamentos!$B:$B,"Despesa"))</f>
        <v/>
      </c>
      <c r="D349" t="str">
        <f t="shared" si="10"/>
        <v/>
      </c>
      <c r="E349" t="str">
        <f t="shared" si="11"/>
        <v/>
      </c>
    </row>
    <row r="350" spans="3:5" x14ac:dyDescent="0.25">
      <c r="C350" t="str">
        <f>IF(A350="","",SUMIFS(Lançamentos!$E:$E,Lançamentos!$C:$C,A350,Lançamentos!$B:$B,"Despesa"))</f>
        <v/>
      </c>
      <c r="D350" t="str">
        <f t="shared" si="10"/>
        <v/>
      </c>
      <c r="E350" t="str">
        <f t="shared" si="11"/>
        <v/>
      </c>
    </row>
    <row r="351" spans="3:5" x14ac:dyDescent="0.25">
      <c r="C351" t="str">
        <f>IF(A351="","",SUMIFS(Lançamentos!$E:$E,Lançamentos!$C:$C,A351,Lançamentos!$B:$B,"Despesa"))</f>
        <v/>
      </c>
      <c r="D351" t="str">
        <f t="shared" si="10"/>
        <v/>
      </c>
      <c r="E351" t="str">
        <f t="shared" si="11"/>
        <v/>
      </c>
    </row>
    <row r="352" spans="3:5" x14ac:dyDescent="0.25">
      <c r="C352" t="str">
        <f>IF(A352="","",SUMIFS(Lançamentos!$E:$E,Lançamentos!$C:$C,A352,Lançamentos!$B:$B,"Despesa"))</f>
        <v/>
      </c>
      <c r="D352" t="str">
        <f t="shared" si="10"/>
        <v/>
      </c>
      <c r="E352" t="str">
        <f t="shared" si="11"/>
        <v/>
      </c>
    </row>
    <row r="353" spans="3:5" x14ac:dyDescent="0.25">
      <c r="C353" t="str">
        <f>IF(A353="","",SUMIFS(Lançamentos!$E:$E,Lançamentos!$C:$C,A353,Lançamentos!$B:$B,"Despesa"))</f>
        <v/>
      </c>
      <c r="D353" t="str">
        <f t="shared" si="10"/>
        <v/>
      </c>
      <c r="E353" t="str">
        <f t="shared" si="11"/>
        <v/>
      </c>
    </row>
    <row r="354" spans="3:5" x14ac:dyDescent="0.25">
      <c r="C354" t="str">
        <f>IF(A354="","",SUMIFS(Lançamentos!$E:$E,Lançamentos!$C:$C,A354,Lançamentos!$B:$B,"Despesa"))</f>
        <v/>
      </c>
      <c r="D354" t="str">
        <f t="shared" si="10"/>
        <v/>
      </c>
      <c r="E354" t="str">
        <f t="shared" si="11"/>
        <v/>
      </c>
    </row>
    <row r="355" spans="3:5" x14ac:dyDescent="0.25">
      <c r="C355" t="str">
        <f>IF(A355="","",SUMIFS(Lançamentos!$E:$E,Lançamentos!$C:$C,A355,Lançamentos!$B:$B,"Despesa"))</f>
        <v/>
      </c>
      <c r="D355" t="str">
        <f t="shared" si="10"/>
        <v/>
      </c>
      <c r="E355" t="str">
        <f t="shared" si="11"/>
        <v/>
      </c>
    </row>
    <row r="356" spans="3:5" x14ac:dyDescent="0.25">
      <c r="C356" t="str">
        <f>IF(A356="","",SUMIFS(Lançamentos!$E:$E,Lançamentos!$C:$C,A356,Lançamentos!$B:$B,"Despesa"))</f>
        <v/>
      </c>
      <c r="D356" t="str">
        <f t="shared" si="10"/>
        <v/>
      </c>
      <c r="E356" t="str">
        <f t="shared" si="11"/>
        <v/>
      </c>
    </row>
    <row r="357" spans="3:5" x14ac:dyDescent="0.25">
      <c r="C357" t="str">
        <f>IF(A357="","",SUMIFS(Lançamentos!$E:$E,Lançamentos!$C:$C,A357,Lançamentos!$B:$B,"Despesa"))</f>
        <v/>
      </c>
      <c r="D357" t="str">
        <f t="shared" si="10"/>
        <v/>
      </c>
      <c r="E357" t="str">
        <f t="shared" si="11"/>
        <v/>
      </c>
    </row>
    <row r="358" spans="3:5" x14ac:dyDescent="0.25">
      <c r="C358" t="str">
        <f>IF(A358="","",SUMIFS(Lançamentos!$E:$E,Lançamentos!$C:$C,A358,Lançamentos!$B:$B,"Despesa"))</f>
        <v/>
      </c>
      <c r="D358" t="str">
        <f t="shared" si="10"/>
        <v/>
      </c>
      <c r="E358" t="str">
        <f t="shared" si="11"/>
        <v/>
      </c>
    </row>
    <row r="359" spans="3:5" x14ac:dyDescent="0.25">
      <c r="C359" t="str">
        <f>IF(A359="","",SUMIFS(Lançamentos!$E:$E,Lançamentos!$C:$C,A359,Lançamentos!$B:$B,"Despesa"))</f>
        <v/>
      </c>
      <c r="D359" t="str">
        <f t="shared" si="10"/>
        <v/>
      </c>
      <c r="E359" t="str">
        <f t="shared" si="11"/>
        <v/>
      </c>
    </row>
    <row r="360" spans="3:5" x14ac:dyDescent="0.25">
      <c r="C360" t="str">
        <f>IF(A360="","",SUMIFS(Lançamentos!$E:$E,Lançamentos!$C:$C,A360,Lançamentos!$B:$B,"Despesa"))</f>
        <v/>
      </c>
      <c r="D360" t="str">
        <f t="shared" si="10"/>
        <v/>
      </c>
      <c r="E360" t="str">
        <f t="shared" si="11"/>
        <v/>
      </c>
    </row>
    <row r="361" spans="3:5" x14ac:dyDescent="0.25">
      <c r="C361" t="str">
        <f>IF(A361="","",SUMIFS(Lançamentos!$E:$E,Lançamentos!$C:$C,A361,Lançamentos!$B:$B,"Despesa"))</f>
        <v/>
      </c>
      <c r="D361" t="str">
        <f t="shared" si="10"/>
        <v/>
      </c>
      <c r="E361" t="str">
        <f t="shared" si="11"/>
        <v/>
      </c>
    </row>
    <row r="362" spans="3:5" x14ac:dyDescent="0.25">
      <c r="C362" t="str">
        <f>IF(A362="","",SUMIFS(Lançamentos!$E:$E,Lançamentos!$C:$C,A362,Lançamentos!$B:$B,"Despesa"))</f>
        <v/>
      </c>
      <c r="D362" t="str">
        <f t="shared" si="10"/>
        <v/>
      </c>
      <c r="E362" t="str">
        <f t="shared" si="11"/>
        <v/>
      </c>
    </row>
    <row r="363" spans="3:5" x14ac:dyDescent="0.25">
      <c r="C363" t="str">
        <f>IF(A363="","",SUMIFS(Lançamentos!$E:$E,Lançamentos!$C:$C,A363,Lançamentos!$B:$B,"Despesa"))</f>
        <v/>
      </c>
      <c r="D363" t="str">
        <f t="shared" si="10"/>
        <v/>
      </c>
      <c r="E363" t="str">
        <f t="shared" si="11"/>
        <v/>
      </c>
    </row>
    <row r="364" spans="3:5" x14ac:dyDescent="0.25">
      <c r="C364" t="str">
        <f>IF(A364="","",SUMIFS(Lançamentos!$E:$E,Lançamentos!$C:$C,A364,Lançamentos!$B:$B,"Despesa"))</f>
        <v/>
      </c>
      <c r="D364" t="str">
        <f t="shared" si="10"/>
        <v/>
      </c>
      <c r="E364" t="str">
        <f t="shared" si="11"/>
        <v/>
      </c>
    </row>
    <row r="365" spans="3:5" x14ac:dyDescent="0.25">
      <c r="C365" t="str">
        <f>IF(A365="","",SUMIFS(Lançamentos!$E:$E,Lançamentos!$C:$C,A365,Lançamentos!$B:$B,"Despesa"))</f>
        <v/>
      </c>
      <c r="D365" t="str">
        <f t="shared" si="10"/>
        <v/>
      </c>
      <c r="E365" t="str">
        <f t="shared" si="11"/>
        <v/>
      </c>
    </row>
    <row r="366" spans="3:5" x14ac:dyDescent="0.25">
      <c r="C366" t="str">
        <f>IF(A366="","",SUMIFS(Lançamentos!$E:$E,Lançamentos!$C:$C,A366,Lançamentos!$B:$B,"Despesa"))</f>
        <v/>
      </c>
      <c r="D366" t="str">
        <f t="shared" si="10"/>
        <v/>
      </c>
      <c r="E366" t="str">
        <f t="shared" si="11"/>
        <v/>
      </c>
    </row>
    <row r="367" spans="3:5" x14ac:dyDescent="0.25">
      <c r="C367" t="str">
        <f>IF(A367="","",SUMIFS(Lançamentos!$E:$E,Lançamentos!$C:$C,A367,Lançamentos!$B:$B,"Despesa"))</f>
        <v/>
      </c>
      <c r="D367" t="str">
        <f t="shared" si="10"/>
        <v/>
      </c>
      <c r="E367" t="str">
        <f t="shared" si="11"/>
        <v/>
      </c>
    </row>
    <row r="368" spans="3:5" x14ac:dyDescent="0.25">
      <c r="C368" t="str">
        <f>IF(A368="","",SUMIFS(Lançamentos!$E:$E,Lançamentos!$C:$C,A368,Lançamentos!$B:$B,"Despesa"))</f>
        <v/>
      </c>
      <c r="D368" t="str">
        <f t="shared" si="10"/>
        <v/>
      </c>
      <c r="E368" t="str">
        <f t="shared" si="11"/>
        <v/>
      </c>
    </row>
    <row r="369" spans="3:5" x14ac:dyDescent="0.25">
      <c r="C369" t="str">
        <f>IF(A369="","",SUMIFS(Lançamentos!$E:$E,Lançamentos!$C:$C,A369,Lançamentos!$B:$B,"Despesa"))</f>
        <v/>
      </c>
      <c r="D369" t="str">
        <f t="shared" si="10"/>
        <v/>
      </c>
      <c r="E369" t="str">
        <f t="shared" si="11"/>
        <v/>
      </c>
    </row>
    <row r="370" spans="3:5" x14ac:dyDescent="0.25">
      <c r="C370" t="str">
        <f>IF(A370="","",SUMIFS(Lançamentos!$E:$E,Lançamentos!$C:$C,A370,Lançamentos!$B:$B,"Despesa"))</f>
        <v/>
      </c>
      <c r="D370" t="str">
        <f t="shared" si="10"/>
        <v/>
      </c>
      <c r="E370" t="str">
        <f t="shared" si="11"/>
        <v/>
      </c>
    </row>
    <row r="371" spans="3:5" x14ac:dyDescent="0.25">
      <c r="C371" t="str">
        <f>IF(A371="","",SUMIFS(Lançamentos!$E:$E,Lançamentos!$C:$C,A371,Lançamentos!$B:$B,"Despesa"))</f>
        <v/>
      </c>
      <c r="D371" t="str">
        <f t="shared" si="10"/>
        <v/>
      </c>
      <c r="E371" t="str">
        <f t="shared" si="11"/>
        <v/>
      </c>
    </row>
    <row r="372" spans="3:5" x14ac:dyDescent="0.25">
      <c r="C372" t="str">
        <f>IF(A372="","",SUMIFS(Lançamentos!$E:$E,Lançamentos!$C:$C,A372,Lançamentos!$B:$B,"Despesa"))</f>
        <v/>
      </c>
      <c r="D372" t="str">
        <f t="shared" si="10"/>
        <v/>
      </c>
      <c r="E372" t="str">
        <f t="shared" si="11"/>
        <v/>
      </c>
    </row>
    <row r="373" spans="3:5" x14ac:dyDescent="0.25">
      <c r="C373" t="str">
        <f>IF(A373="","",SUMIFS(Lançamentos!$E:$E,Lançamentos!$C:$C,A373,Lançamentos!$B:$B,"Despesa"))</f>
        <v/>
      </c>
      <c r="D373" t="str">
        <f t="shared" si="10"/>
        <v/>
      </c>
      <c r="E373" t="str">
        <f t="shared" si="11"/>
        <v/>
      </c>
    </row>
    <row r="374" spans="3:5" x14ac:dyDescent="0.25">
      <c r="C374" t="str">
        <f>IF(A374="","",SUMIFS(Lançamentos!$E:$E,Lançamentos!$C:$C,A374,Lançamentos!$B:$B,"Despesa"))</f>
        <v/>
      </c>
      <c r="D374" t="str">
        <f t="shared" si="10"/>
        <v/>
      </c>
      <c r="E374" t="str">
        <f t="shared" si="11"/>
        <v/>
      </c>
    </row>
    <row r="375" spans="3:5" x14ac:dyDescent="0.25">
      <c r="C375" t="str">
        <f>IF(A375="","",SUMIFS(Lançamentos!$E:$E,Lançamentos!$C:$C,A375,Lançamentos!$B:$B,"Despesa"))</f>
        <v/>
      </c>
      <c r="D375" t="str">
        <f t="shared" si="10"/>
        <v/>
      </c>
      <c r="E375" t="str">
        <f t="shared" si="11"/>
        <v/>
      </c>
    </row>
    <row r="376" spans="3:5" x14ac:dyDescent="0.25">
      <c r="C376" t="str">
        <f>IF(A376="","",SUMIFS(Lançamentos!$E:$E,Lançamentos!$C:$C,A376,Lançamentos!$B:$B,"Despesa"))</f>
        <v/>
      </c>
      <c r="D376" t="str">
        <f t="shared" si="10"/>
        <v/>
      </c>
      <c r="E376" t="str">
        <f t="shared" si="11"/>
        <v/>
      </c>
    </row>
    <row r="377" spans="3:5" x14ac:dyDescent="0.25">
      <c r="C377" t="str">
        <f>IF(A377="","",SUMIFS(Lançamentos!$E:$E,Lançamentos!$C:$C,A377,Lançamentos!$B:$B,"Despesa"))</f>
        <v/>
      </c>
      <c r="D377" t="str">
        <f t="shared" si="10"/>
        <v/>
      </c>
      <c r="E377" t="str">
        <f t="shared" si="11"/>
        <v/>
      </c>
    </row>
    <row r="378" spans="3:5" x14ac:dyDescent="0.25">
      <c r="C378" t="str">
        <f>IF(A378="","",SUMIFS(Lançamentos!$E:$E,Lançamentos!$C:$C,A378,Lançamentos!$B:$B,"Despesa"))</f>
        <v/>
      </c>
      <c r="D378" t="str">
        <f t="shared" si="10"/>
        <v/>
      </c>
      <c r="E378" t="str">
        <f t="shared" si="11"/>
        <v/>
      </c>
    </row>
    <row r="379" spans="3:5" x14ac:dyDescent="0.25">
      <c r="C379" t="str">
        <f>IF(A379="","",SUMIFS(Lançamentos!$E:$E,Lançamentos!$C:$C,A379,Lançamentos!$B:$B,"Despesa"))</f>
        <v/>
      </c>
      <c r="D379" t="str">
        <f t="shared" si="10"/>
        <v/>
      </c>
      <c r="E379" t="str">
        <f t="shared" si="11"/>
        <v/>
      </c>
    </row>
    <row r="380" spans="3:5" x14ac:dyDescent="0.25">
      <c r="C380" t="str">
        <f>IF(A380="","",SUMIFS(Lançamentos!$E:$E,Lançamentos!$C:$C,A380,Lançamentos!$B:$B,"Despesa"))</f>
        <v/>
      </c>
      <c r="D380" t="str">
        <f t="shared" si="10"/>
        <v/>
      </c>
      <c r="E380" t="str">
        <f t="shared" si="11"/>
        <v/>
      </c>
    </row>
    <row r="381" spans="3:5" x14ac:dyDescent="0.25">
      <c r="C381" t="str">
        <f>IF(A381="","",SUMIFS(Lançamentos!$E:$E,Lançamentos!$C:$C,A381,Lançamentos!$B:$B,"Despesa"))</f>
        <v/>
      </c>
      <c r="D381" t="str">
        <f t="shared" si="10"/>
        <v/>
      </c>
      <c r="E381" t="str">
        <f t="shared" si="11"/>
        <v/>
      </c>
    </row>
    <row r="382" spans="3:5" x14ac:dyDescent="0.25">
      <c r="C382" t="str">
        <f>IF(A382="","",SUMIFS(Lançamentos!$E:$E,Lançamentos!$C:$C,A382,Lançamentos!$B:$B,"Despesa"))</f>
        <v/>
      </c>
      <c r="D382" t="str">
        <f t="shared" si="10"/>
        <v/>
      </c>
      <c r="E382" t="str">
        <f t="shared" si="11"/>
        <v/>
      </c>
    </row>
    <row r="383" spans="3:5" x14ac:dyDescent="0.25">
      <c r="C383" t="str">
        <f>IF(A383="","",SUMIFS(Lançamentos!$E:$E,Lançamentos!$C:$C,A383,Lançamentos!$B:$B,"Despesa"))</f>
        <v/>
      </c>
      <c r="D383" t="str">
        <f t="shared" si="10"/>
        <v/>
      </c>
      <c r="E383" t="str">
        <f t="shared" si="11"/>
        <v/>
      </c>
    </row>
    <row r="384" spans="3:5" x14ac:dyDescent="0.25">
      <c r="C384" t="str">
        <f>IF(A384="","",SUMIFS(Lançamentos!$E:$E,Lançamentos!$C:$C,A384,Lançamentos!$B:$B,"Despesa"))</f>
        <v/>
      </c>
      <c r="D384" t="str">
        <f t="shared" si="10"/>
        <v/>
      </c>
      <c r="E384" t="str">
        <f t="shared" si="11"/>
        <v/>
      </c>
    </row>
    <row r="385" spans="3:5" x14ac:dyDescent="0.25">
      <c r="C385" t="str">
        <f>IF(A385="","",SUMIFS(Lançamentos!$E:$E,Lançamentos!$C:$C,A385,Lançamentos!$B:$B,"Despesa"))</f>
        <v/>
      </c>
      <c r="D385" t="str">
        <f t="shared" si="10"/>
        <v/>
      </c>
      <c r="E385" t="str">
        <f t="shared" si="11"/>
        <v/>
      </c>
    </row>
    <row r="386" spans="3:5" x14ac:dyDescent="0.25">
      <c r="C386" t="str">
        <f>IF(A386="","",SUMIFS(Lançamentos!$E:$E,Lançamentos!$C:$C,A386,Lançamentos!$B:$B,"Despesa"))</f>
        <v/>
      </c>
      <c r="D386" t="str">
        <f t="shared" si="10"/>
        <v/>
      </c>
      <c r="E386" t="str">
        <f t="shared" si="11"/>
        <v/>
      </c>
    </row>
    <row r="387" spans="3:5" x14ac:dyDescent="0.25">
      <c r="C387" t="str">
        <f>IF(A387="","",SUMIFS(Lançamentos!$E:$E,Lançamentos!$C:$C,A387,Lançamentos!$B:$B,"Despesa"))</f>
        <v/>
      </c>
      <c r="D387" t="str">
        <f t="shared" si="10"/>
        <v/>
      </c>
      <c r="E387" t="str">
        <f t="shared" si="11"/>
        <v/>
      </c>
    </row>
    <row r="388" spans="3:5" x14ac:dyDescent="0.25">
      <c r="C388" t="str">
        <f>IF(A388="","",SUMIFS(Lançamentos!$E:$E,Lançamentos!$C:$C,A388,Lançamentos!$B:$B,"Despesa"))</f>
        <v/>
      </c>
      <c r="D388" t="str">
        <f t="shared" si="10"/>
        <v/>
      </c>
      <c r="E388" t="str">
        <f t="shared" si="11"/>
        <v/>
      </c>
    </row>
    <row r="389" spans="3:5" x14ac:dyDescent="0.25">
      <c r="C389" t="str">
        <f>IF(A389="","",SUMIFS(Lançamentos!$E:$E,Lançamentos!$C:$C,A389,Lançamentos!$B:$B,"Despesa"))</f>
        <v/>
      </c>
      <c r="D389" t="str">
        <f t="shared" si="10"/>
        <v/>
      </c>
      <c r="E389" t="str">
        <f t="shared" si="11"/>
        <v/>
      </c>
    </row>
    <row r="390" spans="3:5" x14ac:dyDescent="0.25">
      <c r="C390" t="str">
        <f>IF(A390="","",SUMIFS(Lançamentos!$E:$E,Lançamentos!$C:$C,A390,Lançamentos!$B:$B,"Despesa"))</f>
        <v/>
      </c>
      <c r="D390" t="str">
        <f t="shared" ref="D390:D453" si="12">IF(A390="","",B390-C390)</f>
        <v/>
      </c>
      <c r="E390" t="str">
        <f t="shared" ref="E390:E453" si="13">IF(A390="","",IF(C390&gt;B390,"Acima do Orçamento","Dentro do Orçamento"))</f>
        <v/>
      </c>
    </row>
    <row r="391" spans="3:5" x14ac:dyDescent="0.25">
      <c r="C391" t="str">
        <f>IF(A391="","",SUMIFS(Lançamentos!$E:$E,Lançamentos!$C:$C,A391,Lançamentos!$B:$B,"Despesa"))</f>
        <v/>
      </c>
      <c r="D391" t="str">
        <f t="shared" si="12"/>
        <v/>
      </c>
      <c r="E391" t="str">
        <f t="shared" si="13"/>
        <v/>
      </c>
    </row>
    <row r="392" spans="3:5" x14ac:dyDescent="0.25">
      <c r="C392" t="str">
        <f>IF(A392="","",SUMIFS(Lançamentos!$E:$E,Lançamentos!$C:$C,A392,Lançamentos!$B:$B,"Despesa"))</f>
        <v/>
      </c>
      <c r="D392" t="str">
        <f t="shared" si="12"/>
        <v/>
      </c>
      <c r="E392" t="str">
        <f t="shared" si="13"/>
        <v/>
      </c>
    </row>
    <row r="393" spans="3:5" x14ac:dyDescent="0.25">
      <c r="C393" t="str">
        <f>IF(A393="","",SUMIFS(Lançamentos!$E:$E,Lançamentos!$C:$C,A393,Lançamentos!$B:$B,"Despesa"))</f>
        <v/>
      </c>
      <c r="D393" t="str">
        <f t="shared" si="12"/>
        <v/>
      </c>
      <c r="E393" t="str">
        <f t="shared" si="13"/>
        <v/>
      </c>
    </row>
    <row r="394" spans="3:5" x14ac:dyDescent="0.25">
      <c r="C394" t="str">
        <f>IF(A394="","",SUMIFS(Lançamentos!$E:$E,Lançamentos!$C:$C,A394,Lançamentos!$B:$B,"Despesa"))</f>
        <v/>
      </c>
      <c r="D394" t="str">
        <f t="shared" si="12"/>
        <v/>
      </c>
      <c r="E394" t="str">
        <f t="shared" si="13"/>
        <v/>
      </c>
    </row>
    <row r="395" spans="3:5" x14ac:dyDescent="0.25">
      <c r="C395" t="str">
        <f>IF(A395="","",SUMIFS(Lançamentos!$E:$E,Lançamentos!$C:$C,A395,Lançamentos!$B:$B,"Despesa"))</f>
        <v/>
      </c>
      <c r="D395" t="str">
        <f t="shared" si="12"/>
        <v/>
      </c>
      <c r="E395" t="str">
        <f t="shared" si="13"/>
        <v/>
      </c>
    </row>
    <row r="396" spans="3:5" x14ac:dyDescent="0.25">
      <c r="C396" t="str">
        <f>IF(A396="","",SUMIFS(Lançamentos!$E:$E,Lançamentos!$C:$C,A396,Lançamentos!$B:$B,"Despesa"))</f>
        <v/>
      </c>
      <c r="D396" t="str">
        <f t="shared" si="12"/>
        <v/>
      </c>
      <c r="E396" t="str">
        <f t="shared" si="13"/>
        <v/>
      </c>
    </row>
    <row r="397" spans="3:5" x14ac:dyDescent="0.25">
      <c r="C397" t="str">
        <f>IF(A397="","",SUMIFS(Lançamentos!$E:$E,Lançamentos!$C:$C,A397,Lançamentos!$B:$B,"Despesa"))</f>
        <v/>
      </c>
      <c r="D397" t="str">
        <f t="shared" si="12"/>
        <v/>
      </c>
      <c r="E397" t="str">
        <f t="shared" si="13"/>
        <v/>
      </c>
    </row>
    <row r="398" spans="3:5" x14ac:dyDescent="0.25">
      <c r="C398" t="str">
        <f>IF(A398="","",SUMIFS(Lançamentos!$E:$E,Lançamentos!$C:$C,A398,Lançamentos!$B:$B,"Despesa"))</f>
        <v/>
      </c>
      <c r="D398" t="str">
        <f t="shared" si="12"/>
        <v/>
      </c>
      <c r="E398" t="str">
        <f t="shared" si="13"/>
        <v/>
      </c>
    </row>
    <row r="399" spans="3:5" x14ac:dyDescent="0.25">
      <c r="C399" t="str">
        <f>IF(A399="","",SUMIFS(Lançamentos!$E:$E,Lançamentos!$C:$C,A399,Lançamentos!$B:$B,"Despesa"))</f>
        <v/>
      </c>
      <c r="D399" t="str">
        <f t="shared" si="12"/>
        <v/>
      </c>
      <c r="E399" t="str">
        <f t="shared" si="13"/>
        <v/>
      </c>
    </row>
    <row r="400" spans="3:5" x14ac:dyDescent="0.25">
      <c r="C400" t="str">
        <f>IF(A400="","",SUMIFS(Lançamentos!$E:$E,Lançamentos!$C:$C,A400,Lançamentos!$B:$B,"Despesa"))</f>
        <v/>
      </c>
      <c r="D400" t="str">
        <f t="shared" si="12"/>
        <v/>
      </c>
      <c r="E400" t="str">
        <f t="shared" si="13"/>
        <v/>
      </c>
    </row>
    <row r="401" spans="3:5" x14ac:dyDescent="0.25">
      <c r="C401" t="str">
        <f>IF(A401="","",SUMIFS(Lançamentos!$E:$E,Lançamentos!$C:$C,A401,Lançamentos!$B:$B,"Despesa"))</f>
        <v/>
      </c>
      <c r="D401" t="str">
        <f t="shared" si="12"/>
        <v/>
      </c>
      <c r="E401" t="str">
        <f t="shared" si="13"/>
        <v/>
      </c>
    </row>
    <row r="402" spans="3:5" x14ac:dyDescent="0.25">
      <c r="C402" t="str">
        <f>IF(A402="","",SUMIFS(Lançamentos!$E:$E,Lançamentos!$C:$C,A402,Lançamentos!$B:$B,"Despesa"))</f>
        <v/>
      </c>
      <c r="D402" t="str">
        <f t="shared" si="12"/>
        <v/>
      </c>
      <c r="E402" t="str">
        <f t="shared" si="13"/>
        <v/>
      </c>
    </row>
    <row r="403" spans="3:5" x14ac:dyDescent="0.25">
      <c r="C403" t="str">
        <f>IF(A403="","",SUMIFS(Lançamentos!$E:$E,Lançamentos!$C:$C,A403,Lançamentos!$B:$B,"Despesa"))</f>
        <v/>
      </c>
      <c r="D403" t="str">
        <f t="shared" si="12"/>
        <v/>
      </c>
      <c r="E403" t="str">
        <f t="shared" si="13"/>
        <v/>
      </c>
    </row>
    <row r="404" spans="3:5" x14ac:dyDescent="0.25">
      <c r="C404" t="str">
        <f>IF(A404="","",SUMIFS(Lançamentos!$E:$E,Lançamentos!$C:$C,A404,Lançamentos!$B:$B,"Despesa"))</f>
        <v/>
      </c>
      <c r="D404" t="str">
        <f t="shared" si="12"/>
        <v/>
      </c>
      <c r="E404" t="str">
        <f t="shared" si="13"/>
        <v/>
      </c>
    </row>
    <row r="405" spans="3:5" x14ac:dyDescent="0.25">
      <c r="C405" t="str">
        <f>IF(A405="","",SUMIFS(Lançamentos!$E:$E,Lançamentos!$C:$C,A405,Lançamentos!$B:$B,"Despesa"))</f>
        <v/>
      </c>
      <c r="D405" t="str">
        <f t="shared" si="12"/>
        <v/>
      </c>
      <c r="E405" t="str">
        <f t="shared" si="13"/>
        <v/>
      </c>
    </row>
    <row r="406" spans="3:5" x14ac:dyDescent="0.25">
      <c r="C406" t="str">
        <f>IF(A406="","",SUMIFS(Lançamentos!$E:$E,Lançamentos!$C:$C,A406,Lançamentos!$B:$B,"Despesa"))</f>
        <v/>
      </c>
      <c r="D406" t="str">
        <f t="shared" si="12"/>
        <v/>
      </c>
      <c r="E406" t="str">
        <f t="shared" si="13"/>
        <v/>
      </c>
    </row>
    <row r="407" spans="3:5" x14ac:dyDescent="0.25">
      <c r="C407" t="str">
        <f>IF(A407="","",SUMIFS(Lançamentos!$E:$E,Lançamentos!$C:$C,A407,Lançamentos!$B:$B,"Despesa"))</f>
        <v/>
      </c>
      <c r="D407" t="str">
        <f t="shared" si="12"/>
        <v/>
      </c>
      <c r="E407" t="str">
        <f t="shared" si="13"/>
        <v/>
      </c>
    </row>
    <row r="408" spans="3:5" x14ac:dyDescent="0.25">
      <c r="C408" t="str">
        <f>IF(A408="","",SUMIFS(Lançamentos!$E:$E,Lançamentos!$C:$C,A408,Lançamentos!$B:$B,"Despesa"))</f>
        <v/>
      </c>
      <c r="D408" t="str">
        <f t="shared" si="12"/>
        <v/>
      </c>
      <c r="E408" t="str">
        <f t="shared" si="13"/>
        <v/>
      </c>
    </row>
    <row r="409" spans="3:5" x14ac:dyDescent="0.25">
      <c r="C409" t="str">
        <f>IF(A409="","",SUMIFS(Lançamentos!$E:$E,Lançamentos!$C:$C,A409,Lançamentos!$B:$B,"Despesa"))</f>
        <v/>
      </c>
      <c r="D409" t="str">
        <f t="shared" si="12"/>
        <v/>
      </c>
      <c r="E409" t="str">
        <f t="shared" si="13"/>
        <v/>
      </c>
    </row>
    <row r="410" spans="3:5" x14ac:dyDescent="0.25">
      <c r="C410" t="str">
        <f>IF(A410="","",SUMIFS(Lançamentos!$E:$E,Lançamentos!$C:$C,A410,Lançamentos!$B:$B,"Despesa"))</f>
        <v/>
      </c>
      <c r="D410" t="str">
        <f t="shared" si="12"/>
        <v/>
      </c>
      <c r="E410" t="str">
        <f t="shared" si="13"/>
        <v/>
      </c>
    </row>
    <row r="411" spans="3:5" x14ac:dyDescent="0.25">
      <c r="C411" t="str">
        <f>IF(A411="","",SUMIFS(Lançamentos!$E:$E,Lançamentos!$C:$C,A411,Lançamentos!$B:$B,"Despesa"))</f>
        <v/>
      </c>
      <c r="D411" t="str">
        <f t="shared" si="12"/>
        <v/>
      </c>
      <c r="E411" t="str">
        <f t="shared" si="13"/>
        <v/>
      </c>
    </row>
    <row r="412" spans="3:5" x14ac:dyDescent="0.25">
      <c r="C412" t="str">
        <f>IF(A412="","",SUMIFS(Lançamentos!$E:$E,Lançamentos!$C:$C,A412,Lançamentos!$B:$B,"Despesa"))</f>
        <v/>
      </c>
      <c r="D412" t="str">
        <f t="shared" si="12"/>
        <v/>
      </c>
      <c r="E412" t="str">
        <f t="shared" si="13"/>
        <v/>
      </c>
    </row>
    <row r="413" spans="3:5" x14ac:dyDescent="0.25">
      <c r="C413" t="str">
        <f>IF(A413="","",SUMIFS(Lançamentos!$E:$E,Lançamentos!$C:$C,A413,Lançamentos!$B:$B,"Despesa"))</f>
        <v/>
      </c>
      <c r="D413" t="str">
        <f t="shared" si="12"/>
        <v/>
      </c>
      <c r="E413" t="str">
        <f t="shared" si="13"/>
        <v/>
      </c>
    </row>
    <row r="414" spans="3:5" x14ac:dyDescent="0.25">
      <c r="C414" t="str">
        <f>IF(A414="","",SUMIFS(Lançamentos!$E:$E,Lançamentos!$C:$C,A414,Lançamentos!$B:$B,"Despesa"))</f>
        <v/>
      </c>
      <c r="D414" t="str">
        <f t="shared" si="12"/>
        <v/>
      </c>
      <c r="E414" t="str">
        <f t="shared" si="13"/>
        <v/>
      </c>
    </row>
    <row r="415" spans="3:5" x14ac:dyDescent="0.25">
      <c r="C415" t="str">
        <f>IF(A415="","",SUMIFS(Lançamentos!$E:$E,Lançamentos!$C:$C,A415,Lançamentos!$B:$B,"Despesa"))</f>
        <v/>
      </c>
      <c r="D415" t="str">
        <f t="shared" si="12"/>
        <v/>
      </c>
      <c r="E415" t="str">
        <f t="shared" si="13"/>
        <v/>
      </c>
    </row>
    <row r="416" spans="3:5" x14ac:dyDescent="0.25">
      <c r="C416" t="str">
        <f>IF(A416="","",SUMIFS(Lançamentos!$E:$E,Lançamentos!$C:$C,A416,Lançamentos!$B:$B,"Despesa"))</f>
        <v/>
      </c>
      <c r="D416" t="str">
        <f t="shared" si="12"/>
        <v/>
      </c>
      <c r="E416" t="str">
        <f t="shared" si="13"/>
        <v/>
      </c>
    </row>
    <row r="417" spans="3:5" x14ac:dyDescent="0.25">
      <c r="C417" t="str">
        <f>IF(A417="","",SUMIFS(Lançamentos!$E:$E,Lançamentos!$C:$C,A417,Lançamentos!$B:$B,"Despesa"))</f>
        <v/>
      </c>
      <c r="D417" t="str">
        <f t="shared" si="12"/>
        <v/>
      </c>
      <c r="E417" t="str">
        <f t="shared" si="13"/>
        <v/>
      </c>
    </row>
    <row r="418" spans="3:5" x14ac:dyDescent="0.25">
      <c r="C418" t="str">
        <f>IF(A418="","",SUMIFS(Lançamentos!$E:$E,Lançamentos!$C:$C,A418,Lançamentos!$B:$B,"Despesa"))</f>
        <v/>
      </c>
      <c r="D418" t="str">
        <f t="shared" si="12"/>
        <v/>
      </c>
      <c r="E418" t="str">
        <f t="shared" si="13"/>
        <v/>
      </c>
    </row>
    <row r="419" spans="3:5" x14ac:dyDescent="0.25">
      <c r="C419" t="str">
        <f>IF(A419="","",SUMIFS(Lançamentos!$E:$E,Lançamentos!$C:$C,A419,Lançamentos!$B:$B,"Despesa"))</f>
        <v/>
      </c>
      <c r="D419" t="str">
        <f t="shared" si="12"/>
        <v/>
      </c>
      <c r="E419" t="str">
        <f t="shared" si="13"/>
        <v/>
      </c>
    </row>
    <row r="420" spans="3:5" x14ac:dyDescent="0.25">
      <c r="C420" t="str">
        <f>IF(A420="","",SUMIFS(Lançamentos!$E:$E,Lançamentos!$C:$C,A420,Lançamentos!$B:$B,"Despesa"))</f>
        <v/>
      </c>
      <c r="D420" t="str">
        <f t="shared" si="12"/>
        <v/>
      </c>
      <c r="E420" t="str">
        <f t="shared" si="13"/>
        <v/>
      </c>
    </row>
    <row r="421" spans="3:5" x14ac:dyDescent="0.25">
      <c r="C421" t="str">
        <f>IF(A421="","",SUMIFS(Lançamentos!$E:$E,Lançamentos!$C:$C,A421,Lançamentos!$B:$B,"Despesa"))</f>
        <v/>
      </c>
      <c r="D421" t="str">
        <f t="shared" si="12"/>
        <v/>
      </c>
      <c r="E421" t="str">
        <f t="shared" si="13"/>
        <v/>
      </c>
    </row>
    <row r="422" spans="3:5" x14ac:dyDescent="0.25">
      <c r="C422" t="str">
        <f>IF(A422="","",SUMIFS(Lançamentos!$E:$E,Lançamentos!$C:$C,A422,Lançamentos!$B:$B,"Despesa"))</f>
        <v/>
      </c>
      <c r="D422" t="str">
        <f t="shared" si="12"/>
        <v/>
      </c>
      <c r="E422" t="str">
        <f t="shared" si="13"/>
        <v/>
      </c>
    </row>
    <row r="423" spans="3:5" x14ac:dyDescent="0.25">
      <c r="C423" t="str">
        <f>IF(A423="","",SUMIFS(Lançamentos!$E:$E,Lançamentos!$C:$C,A423,Lançamentos!$B:$B,"Despesa"))</f>
        <v/>
      </c>
      <c r="D423" t="str">
        <f t="shared" si="12"/>
        <v/>
      </c>
      <c r="E423" t="str">
        <f t="shared" si="13"/>
        <v/>
      </c>
    </row>
    <row r="424" spans="3:5" x14ac:dyDescent="0.25">
      <c r="C424" t="str">
        <f>IF(A424="","",SUMIFS(Lançamentos!$E:$E,Lançamentos!$C:$C,A424,Lançamentos!$B:$B,"Despesa"))</f>
        <v/>
      </c>
      <c r="D424" t="str">
        <f t="shared" si="12"/>
        <v/>
      </c>
      <c r="E424" t="str">
        <f t="shared" si="13"/>
        <v/>
      </c>
    </row>
    <row r="425" spans="3:5" x14ac:dyDescent="0.25">
      <c r="C425" t="str">
        <f>IF(A425="","",SUMIFS(Lançamentos!$E:$E,Lançamentos!$C:$C,A425,Lançamentos!$B:$B,"Despesa"))</f>
        <v/>
      </c>
      <c r="D425" t="str">
        <f t="shared" si="12"/>
        <v/>
      </c>
      <c r="E425" t="str">
        <f t="shared" si="13"/>
        <v/>
      </c>
    </row>
    <row r="426" spans="3:5" x14ac:dyDescent="0.25">
      <c r="C426" t="str">
        <f>IF(A426="","",SUMIFS(Lançamentos!$E:$E,Lançamentos!$C:$C,A426,Lançamentos!$B:$B,"Despesa"))</f>
        <v/>
      </c>
      <c r="D426" t="str">
        <f t="shared" si="12"/>
        <v/>
      </c>
      <c r="E426" t="str">
        <f t="shared" si="13"/>
        <v/>
      </c>
    </row>
    <row r="427" spans="3:5" x14ac:dyDescent="0.25">
      <c r="C427" t="str">
        <f>IF(A427="","",SUMIFS(Lançamentos!$E:$E,Lançamentos!$C:$C,A427,Lançamentos!$B:$B,"Despesa"))</f>
        <v/>
      </c>
      <c r="D427" t="str">
        <f t="shared" si="12"/>
        <v/>
      </c>
      <c r="E427" t="str">
        <f t="shared" si="13"/>
        <v/>
      </c>
    </row>
    <row r="428" spans="3:5" x14ac:dyDescent="0.25">
      <c r="C428" t="str">
        <f>IF(A428="","",SUMIFS(Lançamentos!$E:$E,Lançamentos!$C:$C,A428,Lançamentos!$B:$B,"Despesa"))</f>
        <v/>
      </c>
      <c r="D428" t="str">
        <f t="shared" si="12"/>
        <v/>
      </c>
      <c r="E428" t="str">
        <f t="shared" si="13"/>
        <v/>
      </c>
    </row>
    <row r="429" spans="3:5" x14ac:dyDescent="0.25">
      <c r="C429" t="str">
        <f>IF(A429="","",SUMIFS(Lançamentos!$E:$E,Lançamentos!$C:$C,A429,Lançamentos!$B:$B,"Despesa"))</f>
        <v/>
      </c>
      <c r="D429" t="str">
        <f t="shared" si="12"/>
        <v/>
      </c>
      <c r="E429" t="str">
        <f t="shared" si="13"/>
        <v/>
      </c>
    </row>
    <row r="430" spans="3:5" x14ac:dyDescent="0.25">
      <c r="C430" t="str">
        <f>IF(A430="","",SUMIFS(Lançamentos!$E:$E,Lançamentos!$C:$C,A430,Lançamentos!$B:$B,"Despesa"))</f>
        <v/>
      </c>
      <c r="D430" t="str">
        <f t="shared" si="12"/>
        <v/>
      </c>
      <c r="E430" t="str">
        <f t="shared" si="13"/>
        <v/>
      </c>
    </row>
    <row r="431" spans="3:5" x14ac:dyDescent="0.25">
      <c r="C431" t="str">
        <f>IF(A431="","",SUMIFS(Lançamentos!$E:$E,Lançamentos!$C:$C,A431,Lançamentos!$B:$B,"Despesa"))</f>
        <v/>
      </c>
      <c r="D431" t="str">
        <f t="shared" si="12"/>
        <v/>
      </c>
      <c r="E431" t="str">
        <f t="shared" si="13"/>
        <v/>
      </c>
    </row>
    <row r="432" spans="3:5" x14ac:dyDescent="0.25">
      <c r="C432" t="str">
        <f>IF(A432="","",SUMIFS(Lançamentos!$E:$E,Lançamentos!$C:$C,A432,Lançamentos!$B:$B,"Despesa"))</f>
        <v/>
      </c>
      <c r="D432" t="str">
        <f t="shared" si="12"/>
        <v/>
      </c>
      <c r="E432" t="str">
        <f t="shared" si="13"/>
        <v/>
      </c>
    </row>
    <row r="433" spans="3:5" x14ac:dyDescent="0.25">
      <c r="C433" t="str">
        <f>IF(A433="","",SUMIFS(Lançamentos!$E:$E,Lançamentos!$C:$C,A433,Lançamentos!$B:$B,"Despesa"))</f>
        <v/>
      </c>
      <c r="D433" t="str">
        <f t="shared" si="12"/>
        <v/>
      </c>
      <c r="E433" t="str">
        <f t="shared" si="13"/>
        <v/>
      </c>
    </row>
    <row r="434" spans="3:5" x14ac:dyDescent="0.25">
      <c r="C434" t="str">
        <f>IF(A434="","",SUMIFS(Lançamentos!$E:$E,Lançamentos!$C:$C,A434,Lançamentos!$B:$B,"Despesa"))</f>
        <v/>
      </c>
      <c r="D434" t="str">
        <f t="shared" si="12"/>
        <v/>
      </c>
      <c r="E434" t="str">
        <f t="shared" si="13"/>
        <v/>
      </c>
    </row>
    <row r="435" spans="3:5" x14ac:dyDescent="0.25">
      <c r="C435" t="str">
        <f>IF(A435="","",SUMIFS(Lançamentos!$E:$E,Lançamentos!$C:$C,A435,Lançamentos!$B:$B,"Despesa"))</f>
        <v/>
      </c>
      <c r="D435" t="str">
        <f t="shared" si="12"/>
        <v/>
      </c>
      <c r="E435" t="str">
        <f t="shared" si="13"/>
        <v/>
      </c>
    </row>
    <row r="436" spans="3:5" x14ac:dyDescent="0.25">
      <c r="C436" t="str">
        <f>IF(A436="","",SUMIFS(Lançamentos!$E:$E,Lançamentos!$C:$C,A436,Lançamentos!$B:$B,"Despesa"))</f>
        <v/>
      </c>
      <c r="D436" t="str">
        <f t="shared" si="12"/>
        <v/>
      </c>
      <c r="E436" t="str">
        <f t="shared" si="13"/>
        <v/>
      </c>
    </row>
    <row r="437" spans="3:5" x14ac:dyDescent="0.25">
      <c r="C437" t="str">
        <f>IF(A437="","",SUMIFS(Lançamentos!$E:$E,Lançamentos!$C:$C,A437,Lançamentos!$B:$B,"Despesa"))</f>
        <v/>
      </c>
      <c r="D437" t="str">
        <f t="shared" si="12"/>
        <v/>
      </c>
      <c r="E437" t="str">
        <f t="shared" si="13"/>
        <v/>
      </c>
    </row>
    <row r="438" spans="3:5" x14ac:dyDescent="0.25">
      <c r="C438" t="str">
        <f>IF(A438="","",SUMIFS(Lançamentos!$E:$E,Lançamentos!$C:$C,A438,Lançamentos!$B:$B,"Despesa"))</f>
        <v/>
      </c>
      <c r="D438" t="str">
        <f t="shared" si="12"/>
        <v/>
      </c>
      <c r="E438" t="str">
        <f t="shared" si="13"/>
        <v/>
      </c>
    </row>
    <row r="439" spans="3:5" x14ac:dyDescent="0.25">
      <c r="C439" t="str">
        <f>IF(A439="","",SUMIFS(Lançamentos!$E:$E,Lançamentos!$C:$C,A439,Lançamentos!$B:$B,"Despesa"))</f>
        <v/>
      </c>
      <c r="D439" t="str">
        <f t="shared" si="12"/>
        <v/>
      </c>
      <c r="E439" t="str">
        <f t="shared" si="13"/>
        <v/>
      </c>
    </row>
    <row r="440" spans="3:5" x14ac:dyDescent="0.25">
      <c r="C440" t="str">
        <f>IF(A440="","",SUMIFS(Lançamentos!$E:$E,Lançamentos!$C:$C,A440,Lançamentos!$B:$B,"Despesa"))</f>
        <v/>
      </c>
      <c r="D440" t="str">
        <f t="shared" si="12"/>
        <v/>
      </c>
      <c r="E440" t="str">
        <f t="shared" si="13"/>
        <v/>
      </c>
    </row>
    <row r="441" spans="3:5" x14ac:dyDescent="0.25">
      <c r="C441" t="str">
        <f>IF(A441="","",SUMIFS(Lançamentos!$E:$E,Lançamentos!$C:$C,A441,Lançamentos!$B:$B,"Despesa"))</f>
        <v/>
      </c>
      <c r="D441" t="str">
        <f t="shared" si="12"/>
        <v/>
      </c>
      <c r="E441" t="str">
        <f t="shared" si="13"/>
        <v/>
      </c>
    </row>
    <row r="442" spans="3:5" x14ac:dyDescent="0.25">
      <c r="C442" t="str">
        <f>IF(A442="","",SUMIFS(Lançamentos!$E:$E,Lançamentos!$C:$C,A442,Lançamentos!$B:$B,"Despesa"))</f>
        <v/>
      </c>
      <c r="D442" t="str">
        <f t="shared" si="12"/>
        <v/>
      </c>
      <c r="E442" t="str">
        <f t="shared" si="13"/>
        <v/>
      </c>
    </row>
    <row r="443" spans="3:5" x14ac:dyDescent="0.25">
      <c r="C443" t="str">
        <f>IF(A443="","",SUMIFS(Lançamentos!$E:$E,Lançamentos!$C:$C,A443,Lançamentos!$B:$B,"Despesa"))</f>
        <v/>
      </c>
      <c r="D443" t="str">
        <f t="shared" si="12"/>
        <v/>
      </c>
      <c r="E443" t="str">
        <f t="shared" si="13"/>
        <v/>
      </c>
    </row>
    <row r="444" spans="3:5" x14ac:dyDescent="0.25">
      <c r="C444" t="str">
        <f>IF(A444="","",SUMIFS(Lançamentos!$E:$E,Lançamentos!$C:$C,A444,Lançamentos!$B:$B,"Despesa"))</f>
        <v/>
      </c>
      <c r="D444" t="str">
        <f t="shared" si="12"/>
        <v/>
      </c>
      <c r="E444" t="str">
        <f t="shared" si="13"/>
        <v/>
      </c>
    </row>
    <row r="445" spans="3:5" x14ac:dyDescent="0.25">
      <c r="C445" t="str">
        <f>IF(A445="","",SUMIFS(Lançamentos!$E:$E,Lançamentos!$C:$C,A445,Lançamentos!$B:$B,"Despesa"))</f>
        <v/>
      </c>
      <c r="D445" t="str">
        <f t="shared" si="12"/>
        <v/>
      </c>
      <c r="E445" t="str">
        <f t="shared" si="13"/>
        <v/>
      </c>
    </row>
    <row r="446" spans="3:5" x14ac:dyDescent="0.25">
      <c r="C446" t="str">
        <f>IF(A446="","",SUMIFS(Lançamentos!$E:$E,Lançamentos!$C:$C,A446,Lançamentos!$B:$B,"Despesa"))</f>
        <v/>
      </c>
      <c r="D446" t="str">
        <f t="shared" si="12"/>
        <v/>
      </c>
      <c r="E446" t="str">
        <f t="shared" si="13"/>
        <v/>
      </c>
    </row>
    <row r="447" spans="3:5" x14ac:dyDescent="0.25">
      <c r="C447" t="str">
        <f>IF(A447="","",SUMIFS(Lançamentos!$E:$E,Lançamentos!$C:$C,A447,Lançamentos!$B:$B,"Despesa"))</f>
        <v/>
      </c>
      <c r="D447" t="str">
        <f t="shared" si="12"/>
        <v/>
      </c>
      <c r="E447" t="str">
        <f t="shared" si="13"/>
        <v/>
      </c>
    </row>
    <row r="448" spans="3:5" x14ac:dyDescent="0.25">
      <c r="C448" t="str">
        <f>IF(A448="","",SUMIFS(Lançamentos!$E:$E,Lançamentos!$C:$C,A448,Lançamentos!$B:$B,"Despesa"))</f>
        <v/>
      </c>
      <c r="D448" t="str">
        <f t="shared" si="12"/>
        <v/>
      </c>
      <c r="E448" t="str">
        <f t="shared" si="13"/>
        <v/>
      </c>
    </row>
    <row r="449" spans="3:5" x14ac:dyDescent="0.25">
      <c r="C449" t="str">
        <f>IF(A449="","",SUMIFS(Lançamentos!$E:$E,Lançamentos!$C:$C,A449,Lançamentos!$B:$B,"Despesa"))</f>
        <v/>
      </c>
      <c r="D449" t="str">
        <f t="shared" si="12"/>
        <v/>
      </c>
      <c r="E449" t="str">
        <f t="shared" si="13"/>
        <v/>
      </c>
    </row>
    <row r="450" spans="3:5" x14ac:dyDescent="0.25">
      <c r="C450" t="str">
        <f>IF(A450="","",SUMIFS(Lançamentos!$E:$E,Lançamentos!$C:$C,A450,Lançamentos!$B:$B,"Despesa"))</f>
        <v/>
      </c>
      <c r="D450" t="str">
        <f t="shared" si="12"/>
        <v/>
      </c>
      <c r="E450" t="str">
        <f t="shared" si="13"/>
        <v/>
      </c>
    </row>
    <row r="451" spans="3:5" x14ac:dyDescent="0.25">
      <c r="C451" t="str">
        <f>IF(A451="","",SUMIFS(Lançamentos!$E:$E,Lançamentos!$C:$C,A451,Lançamentos!$B:$B,"Despesa"))</f>
        <v/>
      </c>
      <c r="D451" t="str">
        <f t="shared" si="12"/>
        <v/>
      </c>
      <c r="E451" t="str">
        <f t="shared" si="13"/>
        <v/>
      </c>
    </row>
    <row r="452" spans="3:5" x14ac:dyDescent="0.25">
      <c r="C452" t="str">
        <f>IF(A452="","",SUMIFS(Lançamentos!$E:$E,Lançamentos!$C:$C,A452,Lançamentos!$B:$B,"Despesa"))</f>
        <v/>
      </c>
      <c r="D452" t="str">
        <f t="shared" si="12"/>
        <v/>
      </c>
      <c r="E452" t="str">
        <f t="shared" si="13"/>
        <v/>
      </c>
    </row>
    <row r="453" spans="3:5" x14ac:dyDescent="0.25">
      <c r="C453" t="str">
        <f>IF(A453="","",SUMIFS(Lançamentos!$E:$E,Lançamentos!$C:$C,A453,Lançamentos!$B:$B,"Despesa"))</f>
        <v/>
      </c>
      <c r="D453" t="str">
        <f t="shared" si="12"/>
        <v/>
      </c>
      <c r="E453" t="str">
        <f t="shared" si="13"/>
        <v/>
      </c>
    </row>
    <row r="454" spans="3:5" x14ac:dyDescent="0.25">
      <c r="C454" t="str">
        <f>IF(A454="","",SUMIFS(Lançamentos!$E:$E,Lançamentos!$C:$C,A454,Lançamentos!$B:$B,"Despesa"))</f>
        <v/>
      </c>
      <c r="D454" t="str">
        <f t="shared" ref="D454:D505" si="14">IF(A454="","",B454-C454)</f>
        <v/>
      </c>
      <c r="E454" t="str">
        <f t="shared" ref="E454:E505" si="15">IF(A454="","",IF(C454&gt;B454,"Acima do Orçamento","Dentro do Orçamento"))</f>
        <v/>
      </c>
    </row>
    <row r="455" spans="3:5" x14ac:dyDescent="0.25">
      <c r="C455" t="str">
        <f>IF(A455="","",SUMIFS(Lançamentos!$E:$E,Lançamentos!$C:$C,A455,Lançamentos!$B:$B,"Despesa"))</f>
        <v/>
      </c>
      <c r="D455" t="str">
        <f t="shared" si="14"/>
        <v/>
      </c>
      <c r="E455" t="str">
        <f t="shared" si="15"/>
        <v/>
      </c>
    </row>
    <row r="456" spans="3:5" x14ac:dyDescent="0.25">
      <c r="C456" t="str">
        <f>IF(A456="","",SUMIFS(Lançamentos!$E:$E,Lançamentos!$C:$C,A456,Lançamentos!$B:$B,"Despesa"))</f>
        <v/>
      </c>
      <c r="D456" t="str">
        <f t="shared" si="14"/>
        <v/>
      </c>
      <c r="E456" t="str">
        <f t="shared" si="15"/>
        <v/>
      </c>
    </row>
    <row r="457" spans="3:5" x14ac:dyDescent="0.25">
      <c r="C457" t="str">
        <f>IF(A457="","",SUMIFS(Lançamentos!$E:$E,Lançamentos!$C:$C,A457,Lançamentos!$B:$B,"Despesa"))</f>
        <v/>
      </c>
      <c r="D457" t="str">
        <f t="shared" si="14"/>
        <v/>
      </c>
      <c r="E457" t="str">
        <f t="shared" si="15"/>
        <v/>
      </c>
    </row>
    <row r="458" spans="3:5" x14ac:dyDescent="0.25">
      <c r="C458" t="str">
        <f>IF(A458="","",SUMIFS(Lançamentos!$E:$E,Lançamentos!$C:$C,A458,Lançamentos!$B:$B,"Despesa"))</f>
        <v/>
      </c>
      <c r="D458" t="str">
        <f t="shared" si="14"/>
        <v/>
      </c>
      <c r="E458" t="str">
        <f t="shared" si="15"/>
        <v/>
      </c>
    </row>
    <row r="459" spans="3:5" x14ac:dyDescent="0.25">
      <c r="C459" t="str">
        <f>IF(A459="","",SUMIFS(Lançamentos!$E:$E,Lançamentos!$C:$C,A459,Lançamentos!$B:$B,"Despesa"))</f>
        <v/>
      </c>
      <c r="D459" t="str">
        <f t="shared" si="14"/>
        <v/>
      </c>
      <c r="E459" t="str">
        <f t="shared" si="15"/>
        <v/>
      </c>
    </row>
    <row r="460" spans="3:5" x14ac:dyDescent="0.25">
      <c r="C460" t="str">
        <f>IF(A460="","",SUMIFS(Lançamentos!$E:$E,Lançamentos!$C:$C,A460,Lançamentos!$B:$B,"Despesa"))</f>
        <v/>
      </c>
      <c r="D460" t="str">
        <f t="shared" si="14"/>
        <v/>
      </c>
      <c r="E460" t="str">
        <f t="shared" si="15"/>
        <v/>
      </c>
    </row>
    <row r="461" spans="3:5" x14ac:dyDescent="0.25">
      <c r="C461" t="str">
        <f>IF(A461="","",SUMIFS(Lançamentos!$E:$E,Lançamentos!$C:$C,A461,Lançamentos!$B:$B,"Despesa"))</f>
        <v/>
      </c>
      <c r="D461" t="str">
        <f t="shared" si="14"/>
        <v/>
      </c>
      <c r="E461" t="str">
        <f t="shared" si="15"/>
        <v/>
      </c>
    </row>
    <row r="462" spans="3:5" x14ac:dyDescent="0.25">
      <c r="C462" t="str">
        <f>IF(A462="","",SUMIFS(Lançamentos!$E:$E,Lançamentos!$C:$C,A462,Lançamentos!$B:$B,"Despesa"))</f>
        <v/>
      </c>
      <c r="D462" t="str">
        <f t="shared" si="14"/>
        <v/>
      </c>
      <c r="E462" t="str">
        <f t="shared" si="15"/>
        <v/>
      </c>
    </row>
    <row r="463" spans="3:5" x14ac:dyDescent="0.25">
      <c r="C463" t="str">
        <f>IF(A463="","",SUMIFS(Lançamentos!$E:$E,Lançamentos!$C:$C,A463,Lançamentos!$B:$B,"Despesa"))</f>
        <v/>
      </c>
      <c r="D463" t="str">
        <f t="shared" si="14"/>
        <v/>
      </c>
      <c r="E463" t="str">
        <f t="shared" si="15"/>
        <v/>
      </c>
    </row>
    <row r="464" spans="3:5" x14ac:dyDescent="0.25">
      <c r="C464" t="str">
        <f>IF(A464="","",SUMIFS(Lançamentos!$E:$E,Lançamentos!$C:$C,A464,Lançamentos!$B:$B,"Despesa"))</f>
        <v/>
      </c>
      <c r="D464" t="str">
        <f t="shared" si="14"/>
        <v/>
      </c>
      <c r="E464" t="str">
        <f t="shared" si="15"/>
        <v/>
      </c>
    </row>
    <row r="465" spans="3:5" x14ac:dyDescent="0.25">
      <c r="C465" t="str">
        <f>IF(A465="","",SUMIFS(Lançamentos!$E:$E,Lançamentos!$C:$C,A465,Lançamentos!$B:$B,"Despesa"))</f>
        <v/>
      </c>
      <c r="D465" t="str">
        <f t="shared" si="14"/>
        <v/>
      </c>
      <c r="E465" t="str">
        <f t="shared" si="15"/>
        <v/>
      </c>
    </row>
    <row r="466" spans="3:5" x14ac:dyDescent="0.25">
      <c r="C466" t="str">
        <f>IF(A466="","",SUMIFS(Lançamentos!$E:$E,Lançamentos!$C:$C,A466,Lançamentos!$B:$B,"Despesa"))</f>
        <v/>
      </c>
      <c r="D466" t="str">
        <f t="shared" si="14"/>
        <v/>
      </c>
      <c r="E466" t="str">
        <f t="shared" si="15"/>
        <v/>
      </c>
    </row>
    <row r="467" spans="3:5" x14ac:dyDescent="0.25">
      <c r="C467" t="str">
        <f>IF(A467="","",SUMIFS(Lançamentos!$E:$E,Lançamentos!$C:$C,A467,Lançamentos!$B:$B,"Despesa"))</f>
        <v/>
      </c>
      <c r="D467" t="str">
        <f t="shared" si="14"/>
        <v/>
      </c>
      <c r="E467" t="str">
        <f t="shared" si="15"/>
        <v/>
      </c>
    </row>
    <row r="468" spans="3:5" x14ac:dyDescent="0.25">
      <c r="C468" t="str">
        <f>IF(A468="","",SUMIFS(Lançamentos!$E:$E,Lançamentos!$C:$C,A468,Lançamentos!$B:$B,"Despesa"))</f>
        <v/>
      </c>
      <c r="D468" t="str">
        <f t="shared" si="14"/>
        <v/>
      </c>
      <c r="E468" t="str">
        <f t="shared" si="15"/>
        <v/>
      </c>
    </row>
    <row r="469" spans="3:5" x14ac:dyDescent="0.25">
      <c r="C469" t="str">
        <f>IF(A469="","",SUMIFS(Lançamentos!$E:$E,Lançamentos!$C:$C,A469,Lançamentos!$B:$B,"Despesa"))</f>
        <v/>
      </c>
      <c r="D469" t="str">
        <f t="shared" si="14"/>
        <v/>
      </c>
      <c r="E469" t="str">
        <f t="shared" si="15"/>
        <v/>
      </c>
    </row>
    <row r="470" spans="3:5" x14ac:dyDescent="0.25">
      <c r="C470" t="str">
        <f>IF(A470="","",SUMIFS(Lançamentos!$E:$E,Lançamentos!$C:$C,A470,Lançamentos!$B:$B,"Despesa"))</f>
        <v/>
      </c>
      <c r="D470" t="str">
        <f t="shared" si="14"/>
        <v/>
      </c>
      <c r="E470" t="str">
        <f t="shared" si="15"/>
        <v/>
      </c>
    </row>
    <row r="471" spans="3:5" x14ac:dyDescent="0.25">
      <c r="C471" t="str">
        <f>IF(A471="","",SUMIFS(Lançamentos!$E:$E,Lançamentos!$C:$C,A471,Lançamentos!$B:$B,"Despesa"))</f>
        <v/>
      </c>
      <c r="D471" t="str">
        <f t="shared" si="14"/>
        <v/>
      </c>
      <c r="E471" t="str">
        <f t="shared" si="15"/>
        <v/>
      </c>
    </row>
    <row r="472" spans="3:5" x14ac:dyDescent="0.25">
      <c r="C472" t="str">
        <f>IF(A472="","",SUMIFS(Lançamentos!$E:$E,Lançamentos!$C:$C,A472,Lançamentos!$B:$B,"Despesa"))</f>
        <v/>
      </c>
      <c r="D472" t="str">
        <f t="shared" si="14"/>
        <v/>
      </c>
      <c r="E472" t="str">
        <f t="shared" si="15"/>
        <v/>
      </c>
    </row>
    <row r="473" spans="3:5" x14ac:dyDescent="0.25">
      <c r="C473" t="str">
        <f>IF(A473="","",SUMIFS(Lançamentos!$E:$E,Lançamentos!$C:$C,A473,Lançamentos!$B:$B,"Despesa"))</f>
        <v/>
      </c>
      <c r="D473" t="str">
        <f t="shared" si="14"/>
        <v/>
      </c>
      <c r="E473" t="str">
        <f t="shared" si="15"/>
        <v/>
      </c>
    </row>
    <row r="474" spans="3:5" x14ac:dyDescent="0.25">
      <c r="C474" t="str">
        <f>IF(A474="","",SUMIFS(Lançamentos!$E:$E,Lançamentos!$C:$C,A474,Lançamentos!$B:$B,"Despesa"))</f>
        <v/>
      </c>
      <c r="D474" t="str">
        <f t="shared" si="14"/>
        <v/>
      </c>
      <c r="E474" t="str">
        <f t="shared" si="15"/>
        <v/>
      </c>
    </row>
    <row r="475" spans="3:5" x14ac:dyDescent="0.25">
      <c r="C475" t="str">
        <f>IF(A475="","",SUMIFS(Lançamentos!$E:$E,Lançamentos!$C:$C,A475,Lançamentos!$B:$B,"Despesa"))</f>
        <v/>
      </c>
      <c r="D475" t="str">
        <f t="shared" si="14"/>
        <v/>
      </c>
      <c r="E475" t="str">
        <f t="shared" si="15"/>
        <v/>
      </c>
    </row>
    <row r="476" spans="3:5" x14ac:dyDescent="0.25">
      <c r="C476" t="str">
        <f>IF(A476="","",SUMIFS(Lançamentos!$E:$E,Lançamentos!$C:$C,A476,Lançamentos!$B:$B,"Despesa"))</f>
        <v/>
      </c>
      <c r="D476" t="str">
        <f t="shared" si="14"/>
        <v/>
      </c>
      <c r="E476" t="str">
        <f t="shared" si="15"/>
        <v/>
      </c>
    </row>
    <row r="477" spans="3:5" x14ac:dyDescent="0.25">
      <c r="C477" t="str">
        <f>IF(A477="","",SUMIFS(Lançamentos!$E:$E,Lançamentos!$C:$C,A477,Lançamentos!$B:$B,"Despesa"))</f>
        <v/>
      </c>
      <c r="D477" t="str">
        <f t="shared" si="14"/>
        <v/>
      </c>
      <c r="E477" t="str">
        <f t="shared" si="15"/>
        <v/>
      </c>
    </row>
    <row r="478" spans="3:5" x14ac:dyDescent="0.25">
      <c r="C478" t="str">
        <f>IF(A478="","",SUMIFS(Lançamentos!$E:$E,Lançamentos!$C:$C,A478,Lançamentos!$B:$B,"Despesa"))</f>
        <v/>
      </c>
      <c r="D478" t="str">
        <f t="shared" si="14"/>
        <v/>
      </c>
      <c r="E478" t="str">
        <f t="shared" si="15"/>
        <v/>
      </c>
    </row>
    <row r="479" spans="3:5" x14ac:dyDescent="0.25">
      <c r="C479" t="str">
        <f>IF(A479="","",SUMIFS(Lançamentos!$E:$E,Lançamentos!$C:$C,A479,Lançamentos!$B:$B,"Despesa"))</f>
        <v/>
      </c>
      <c r="D479" t="str">
        <f t="shared" si="14"/>
        <v/>
      </c>
      <c r="E479" t="str">
        <f t="shared" si="15"/>
        <v/>
      </c>
    </row>
    <row r="480" spans="3:5" x14ac:dyDescent="0.25">
      <c r="C480" t="str">
        <f>IF(A480="","",SUMIFS(Lançamentos!$E:$E,Lançamentos!$C:$C,A480,Lançamentos!$B:$B,"Despesa"))</f>
        <v/>
      </c>
      <c r="D480" t="str">
        <f t="shared" si="14"/>
        <v/>
      </c>
      <c r="E480" t="str">
        <f t="shared" si="15"/>
        <v/>
      </c>
    </row>
    <row r="481" spans="3:5" x14ac:dyDescent="0.25">
      <c r="C481" t="str">
        <f>IF(A481="","",SUMIFS(Lançamentos!$E:$E,Lançamentos!$C:$C,A481,Lançamentos!$B:$B,"Despesa"))</f>
        <v/>
      </c>
      <c r="D481" t="str">
        <f t="shared" si="14"/>
        <v/>
      </c>
      <c r="E481" t="str">
        <f t="shared" si="15"/>
        <v/>
      </c>
    </row>
    <row r="482" spans="3:5" x14ac:dyDescent="0.25">
      <c r="C482" t="str">
        <f>IF(A482="","",SUMIFS(Lançamentos!$E:$E,Lançamentos!$C:$C,A482,Lançamentos!$B:$B,"Despesa"))</f>
        <v/>
      </c>
      <c r="D482" t="str">
        <f t="shared" si="14"/>
        <v/>
      </c>
      <c r="E482" t="str">
        <f t="shared" si="15"/>
        <v/>
      </c>
    </row>
    <row r="483" spans="3:5" x14ac:dyDescent="0.25">
      <c r="C483" t="str">
        <f>IF(A483="","",SUMIFS(Lançamentos!$E:$E,Lançamentos!$C:$C,A483,Lançamentos!$B:$B,"Despesa"))</f>
        <v/>
      </c>
      <c r="D483" t="str">
        <f t="shared" si="14"/>
        <v/>
      </c>
      <c r="E483" t="str">
        <f t="shared" si="15"/>
        <v/>
      </c>
    </row>
    <row r="484" spans="3:5" x14ac:dyDescent="0.25">
      <c r="C484" t="str">
        <f>IF(A484="","",SUMIFS(Lançamentos!$E:$E,Lançamentos!$C:$C,A484,Lançamentos!$B:$B,"Despesa"))</f>
        <v/>
      </c>
      <c r="D484" t="str">
        <f t="shared" si="14"/>
        <v/>
      </c>
      <c r="E484" t="str">
        <f t="shared" si="15"/>
        <v/>
      </c>
    </row>
    <row r="485" spans="3:5" x14ac:dyDescent="0.25">
      <c r="C485" t="str">
        <f>IF(A485="","",SUMIFS(Lançamentos!$E:$E,Lançamentos!$C:$C,A485,Lançamentos!$B:$B,"Despesa"))</f>
        <v/>
      </c>
      <c r="D485" t="str">
        <f t="shared" si="14"/>
        <v/>
      </c>
      <c r="E485" t="str">
        <f t="shared" si="15"/>
        <v/>
      </c>
    </row>
    <row r="486" spans="3:5" x14ac:dyDescent="0.25">
      <c r="C486" t="str">
        <f>IF(A486="","",SUMIFS(Lançamentos!$E:$E,Lançamentos!$C:$C,A486,Lançamentos!$B:$B,"Despesa"))</f>
        <v/>
      </c>
      <c r="D486" t="str">
        <f t="shared" si="14"/>
        <v/>
      </c>
      <c r="E486" t="str">
        <f t="shared" si="15"/>
        <v/>
      </c>
    </row>
    <row r="487" spans="3:5" x14ac:dyDescent="0.25">
      <c r="C487" t="str">
        <f>IF(A487="","",SUMIFS(Lançamentos!$E:$E,Lançamentos!$C:$C,A487,Lançamentos!$B:$B,"Despesa"))</f>
        <v/>
      </c>
      <c r="D487" t="str">
        <f t="shared" si="14"/>
        <v/>
      </c>
      <c r="E487" t="str">
        <f t="shared" si="15"/>
        <v/>
      </c>
    </row>
    <row r="488" spans="3:5" x14ac:dyDescent="0.25">
      <c r="C488" t="str">
        <f>IF(A488="","",SUMIFS(Lançamentos!$E:$E,Lançamentos!$C:$C,A488,Lançamentos!$B:$B,"Despesa"))</f>
        <v/>
      </c>
      <c r="D488" t="str">
        <f t="shared" si="14"/>
        <v/>
      </c>
      <c r="E488" t="str">
        <f t="shared" si="15"/>
        <v/>
      </c>
    </row>
    <row r="489" spans="3:5" x14ac:dyDescent="0.25">
      <c r="C489" t="str">
        <f>IF(A489="","",SUMIFS(Lançamentos!$E:$E,Lançamentos!$C:$C,A489,Lançamentos!$B:$B,"Despesa"))</f>
        <v/>
      </c>
      <c r="D489" t="str">
        <f t="shared" si="14"/>
        <v/>
      </c>
      <c r="E489" t="str">
        <f t="shared" si="15"/>
        <v/>
      </c>
    </row>
    <row r="490" spans="3:5" x14ac:dyDescent="0.25">
      <c r="C490" t="str">
        <f>IF(A490="","",SUMIFS(Lançamentos!$E:$E,Lançamentos!$C:$C,A490,Lançamentos!$B:$B,"Despesa"))</f>
        <v/>
      </c>
      <c r="D490" t="str">
        <f t="shared" si="14"/>
        <v/>
      </c>
      <c r="E490" t="str">
        <f t="shared" si="15"/>
        <v/>
      </c>
    </row>
    <row r="491" spans="3:5" x14ac:dyDescent="0.25">
      <c r="C491" t="str">
        <f>IF(A491="","",SUMIFS(Lançamentos!$E:$E,Lançamentos!$C:$C,A491,Lançamentos!$B:$B,"Despesa"))</f>
        <v/>
      </c>
      <c r="D491" t="str">
        <f t="shared" si="14"/>
        <v/>
      </c>
      <c r="E491" t="str">
        <f t="shared" si="15"/>
        <v/>
      </c>
    </row>
    <row r="492" spans="3:5" x14ac:dyDescent="0.25">
      <c r="C492" t="str">
        <f>IF(A492="","",SUMIFS(Lançamentos!$E:$E,Lançamentos!$C:$C,A492,Lançamentos!$B:$B,"Despesa"))</f>
        <v/>
      </c>
      <c r="D492" t="str">
        <f t="shared" si="14"/>
        <v/>
      </c>
      <c r="E492" t="str">
        <f t="shared" si="15"/>
        <v/>
      </c>
    </row>
    <row r="493" spans="3:5" x14ac:dyDescent="0.25">
      <c r="C493" t="str">
        <f>IF(A493="","",SUMIFS(Lançamentos!$E:$E,Lançamentos!$C:$C,A493,Lançamentos!$B:$B,"Despesa"))</f>
        <v/>
      </c>
      <c r="D493" t="str">
        <f t="shared" si="14"/>
        <v/>
      </c>
      <c r="E493" t="str">
        <f t="shared" si="15"/>
        <v/>
      </c>
    </row>
    <row r="494" spans="3:5" x14ac:dyDescent="0.25">
      <c r="C494" t="str">
        <f>IF(A494="","",SUMIFS(Lançamentos!$E:$E,Lançamentos!$C:$C,A494,Lançamentos!$B:$B,"Despesa"))</f>
        <v/>
      </c>
      <c r="D494" t="str">
        <f t="shared" si="14"/>
        <v/>
      </c>
      <c r="E494" t="str">
        <f t="shared" si="15"/>
        <v/>
      </c>
    </row>
    <row r="495" spans="3:5" x14ac:dyDescent="0.25">
      <c r="C495" t="str">
        <f>IF(A495="","",SUMIFS(Lançamentos!$E:$E,Lançamentos!$C:$C,A495,Lançamentos!$B:$B,"Despesa"))</f>
        <v/>
      </c>
      <c r="D495" t="str">
        <f t="shared" si="14"/>
        <v/>
      </c>
      <c r="E495" t="str">
        <f t="shared" si="15"/>
        <v/>
      </c>
    </row>
    <row r="496" spans="3:5" x14ac:dyDescent="0.25">
      <c r="C496" t="str">
        <f>IF(A496="","",SUMIFS(Lançamentos!$E:$E,Lançamentos!$C:$C,A496,Lançamentos!$B:$B,"Despesa"))</f>
        <v/>
      </c>
      <c r="D496" t="str">
        <f t="shared" si="14"/>
        <v/>
      </c>
      <c r="E496" t="str">
        <f t="shared" si="15"/>
        <v/>
      </c>
    </row>
    <row r="497" spans="3:5" x14ac:dyDescent="0.25">
      <c r="C497" t="str">
        <f>IF(A497="","",SUMIFS(Lançamentos!$E:$E,Lançamentos!$C:$C,A497,Lançamentos!$B:$B,"Despesa"))</f>
        <v/>
      </c>
      <c r="D497" t="str">
        <f t="shared" si="14"/>
        <v/>
      </c>
      <c r="E497" t="str">
        <f t="shared" si="15"/>
        <v/>
      </c>
    </row>
    <row r="498" spans="3:5" x14ac:dyDescent="0.25">
      <c r="C498" t="str">
        <f>IF(A498="","",SUMIFS(Lançamentos!$E:$E,Lançamentos!$C:$C,A498,Lançamentos!$B:$B,"Despesa"))</f>
        <v/>
      </c>
      <c r="D498" t="str">
        <f t="shared" si="14"/>
        <v/>
      </c>
      <c r="E498" t="str">
        <f t="shared" si="15"/>
        <v/>
      </c>
    </row>
    <row r="499" spans="3:5" x14ac:dyDescent="0.25">
      <c r="C499" t="str">
        <f>IF(A499="","",SUMIFS(Lançamentos!$E:$E,Lançamentos!$C:$C,A499,Lançamentos!$B:$B,"Despesa"))</f>
        <v/>
      </c>
      <c r="D499" t="str">
        <f t="shared" si="14"/>
        <v/>
      </c>
      <c r="E499" t="str">
        <f t="shared" si="15"/>
        <v/>
      </c>
    </row>
    <row r="500" spans="3:5" x14ac:dyDescent="0.25">
      <c r="C500" t="str">
        <f>IF(A500="","",SUMIFS(Lançamentos!$E:$E,Lançamentos!$C:$C,A500,Lançamentos!$B:$B,"Despesa"))</f>
        <v/>
      </c>
      <c r="D500" t="str">
        <f t="shared" si="14"/>
        <v/>
      </c>
      <c r="E500" t="str">
        <f t="shared" si="15"/>
        <v/>
      </c>
    </row>
    <row r="501" spans="3:5" x14ac:dyDescent="0.25">
      <c r="C501" t="str">
        <f>IF(A501="","",SUMIFS(Lançamentos!$E:$E,Lançamentos!$C:$C,A501,Lançamentos!$B:$B,"Despesa"))</f>
        <v/>
      </c>
      <c r="D501" t="str">
        <f t="shared" si="14"/>
        <v/>
      </c>
      <c r="E501" t="str">
        <f t="shared" si="15"/>
        <v/>
      </c>
    </row>
    <row r="502" spans="3:5" x14ac:dyDescent="0.25">
      <c r="C502" t="str">
        <f>IF(A502="","",SUMIFS(Lançamentos!$E:$E,Lançamentos!$C:$C,A502,Lançamentos!$B:$B,"Despesa"))</f>
        <v/>
      </c>
      <c r="D502" t="str">
        <f t="shared" si="14"/>
        <v/>
      </c>
      <c r="E502" t="str">
        <f t="shared" si="15"/>
        <v/>
      </c>
    </row>
    <row r="503" spans="3:5" x14ac:dyDescent="0.25">
      <c r="C503" t="str">
        <f>IF(A503="","",SUMIFS(Lançamentos!$E:$E,Lançamentos!$C:$C,A503,Lançamentos!$B:$B,"Despesa"))</f>
        <v/>
      </c>
      <c r="D503" t="str">
        <f t="shared" si="14"/>
        <v/>
      </c>
      <c r="E503" t="str">
        <f t="shared" si="15"/>
        <v/>
      </c>
    </row>
    <row r="504" spans="3:5" x14ac:dyDescent="0.25">
      <c r="C504" t="str">
        <f>IF(A504="","",SUMIFS(Lançamentos!$E:$E,Lançamentos!$C:$C,A504,Lançamentos!$B:$B,"Despesa"))</f>
        <v/>
      </c>
      <c r="D504" t="str">
        <f t="shared" si="14"/>
        <v/>
      </c>
      <c r="E504" t="str">
        <f t="shared" si="15"/>
        <v/>
      </c>
    </row>
    <row r="505" spans="3:5" x14ac:dyDescent="0.25">
      <c r="C505" t="str">
        <f>IF(A505="","",SUMIFS(Lançamentos!$E:$E,Lançamentos!$C:$C,A505,Lançamentos!$B:$B,"Despesa"))</f>
        <v/>
      </c>
      <c r="D505" t="str">
        <f t="shared" si="14"/>
        <v/>
      </c>
      <c r="E505" t="str">
        <f t="shared" si="15"/>
        <v/>
      </c>
    </row>
  </sheetData>
  <mergeCells count="5">
    <mergeCell ref="A1:G2"/>
    <mergeCell ref="K6:M6"/>
    <mergeCell ref="K12:M12"/>
    <mergeCell ref="K18:M18"/>
    <mergeCell ref="K24:M24"/>
  </mergeCells>
  <conditionalFormatting sqref="E6:E505">
    <cfRule type="cellIs" dxfId="1" priority="1" operator="equal">
      <formula>"Acima do Orçamento"</formula>
    </cfRule>
    <cfRule type="cellIs" dxfId="0" priority="2" operator="equal">
      <formula>"Dentro do Orçamento"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8939-B274-416A-AD2D-839064D0C760}">
  <dimension ref="A2:H11"/>
  <sheetViews>
    <sheetView workbookViewId="0">
      <selection activeCell="M16" sqref="M16"/>
    </sheetView>
  </sheetViews>
  <sheetFormatPr defaultRowHeight="15" x14ac:dyDescent="0.25"/>
  <cols>
    <col min="3" max="4" width="13.42578125" bestFit="1" customWidth="1"/>
    <col min="6" max="6" width="13.28515625" bestFit="1" customWidth="1"/>
  </cols>
  <sheetData>
    <row r="2" spans="1:8" x14ac:dyDescent="0.25">
      <c r="A2" s="2" t="s">
        <v>11</v>
      </c>
      <c r="C2" t="s">
        <v>13</v>
      </c>
      <c r="D2" t="s">
        <v>18</v>
      </c>
      <c r="F2" t="s">
        <v>25</v>
      </c>
      <c r="H2" t="s">
        <v>31</v>
      </c>
    </row>
    <row r="3" spans="1:8" x14ac:dyDescent="0.25">
      <c r="A3" s="2" t="s">
        <v>12</v>
      </c>
      <c r="C3" t="s">
        <v>14</v>
      </c>
      <c r="D3" t="s">
        <v>19</v>
      </c>
      <c r="F3" t="s">
        <v>26</v>
      </c>
      <c r="H3" t="s">
        <v>32</v>
      </c>
    </row>
    <row r="4" spans="1:8" x14ac:dyDescent="0.25">
      <c r="C4" t="s">
        <v>15</v>
      </c>
      <c r="D4" t="s">
        <v>20</v>
      </c>
      <c r="F4" t="s">
        <v>27</v>
      </c>
    </row>
    <row r="5" spans="1:8" x14ac:dyDescent="0.25">
      <c r="C5" t="s">
        <v>16</v>
      </c>
      <c r="D5" t="s">
        <v>21</v>
      </c>
      <c r="F5" t="s">
        <v>28</v>
      </c>
    </row>
    <row r="6" spans="1:8" x14ac:dyDescent="0.25">
      <c r="C6" t="s">
        <v>17</v>
      </c>
      <c r="D6" t="s">
        <v>22</v>
      </c>
      <c r="F6" t="s">
        <v>29</v>
      </c>
    </row>
    <row r="7" spans="1:8" x14ac:dyDescent="0.25">
      <c r="D7" t="s">
        <v>23</v>
      </c>
    </row>
    <row r="8" spans="1:8" x14ac:dyDescent="0.25">
      <c r="D8" t="s">
        <v>46</v>
      </c>
    </row>
    <row r="9" spans="1:8" x14ac:dyDescent="0.25">
      <c r="D9" t="s">
        <v>24</v>
      </c>
    </row>
    <row r="10" spans="1:8" x14ac:dyDescent="0.25">
      <c r="D10" t="s">
        <v>15</v>
      </c>
    </row>
    <row r="11" spans="1:8" x14ac:dyDescent="0.25">
      <c r="D1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Capa</vt:lpstr>
      <vt:lpstr>Dashboard</vt:lpstr>
      <vt:lpstr>Lançamentos</vt:lpstr>
      <vt:lpstr>Orçamento Mensal</vt:lpstr>
      <vt:lpstr>Categoria</vt:lpstr>
      <vt:lpstr>Despesa</vt:lpstr>
      <vt:lpstr>Receita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Tayssa Elisa</dc:creator>
  <cp:lastModifiedBy>THYERIS VICTOR BAUCH</cp:lastModifiedBy>
  <dcterms:created xsi:type="dcterms:W3CDTF">2026-06-19T12:38:09Z</dcterms:created>
  <dcterms:modified xsi:type="dcterms:W3CDTF">2026-06-23T13:29:59Z</dcterms:modified>
</cp:coreProperties>
</file>