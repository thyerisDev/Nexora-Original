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uch\Downloads\"/>
    </mc:Choice>
  </mc:AlternateContent>
  <xr:revisionPtr revIDLastSave="0" documentId="8_{DE22E1A8-B659-4DCE-959F-C56B117BD3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pa" sheetId="1" r:id="rId1"/>
    <sheet name="Dashboard" sheetId="2" r:id="rId2"/>
    <sheet name="Lançamentos" sheetId="3" r:id="rId3"/>
    <sheet name="Categoria" sheetId="7" state="hidden" r:id="rId4"/>
    <sheet name="Pagar" sheetId="4" r:id="rId5"/>
    <sheet name="Receber" sheetId="5" r:id="rId6"/>
    <sheet name="Indicadores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6" l="1"/>
  <c r="C24" i="2"/>
  <c r="AL2" i="2"/>
  <c r="S25" i="2"/>
  <c r="AL1" i="2"/>
  <c r="S24" i="2"/>
  <c r="AE2" i="2"/>
  <c r="AB3" i="2"/>
  <c r="AB4" i="2"/>
  <c r="AB5" i="2"/>
  <c r="AB6" i="2"/>
  <c r="AB7" i="2"/>
  <c r="AB8" i="2"/>
  <c r="AB9" i="2"/>
  <c r="AB2" i="2"/>
  <c r="B3" i="6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2" i="3"/>
  <c r="B8" i="6"/>
  <c r="B7" i="6"/>
  <c r="B6" i="6"/>
  <c r="B5" i="6"/>
  <c r="B9" i="6"/>
  <c r="H5" i="2"/>
  <c r="AE3" i="2"/>
  <c r="B10" i="6"/>
  <c r="R5" i="2"/>
  <c r="B4" i="6"/>
  <c r="C5" i="2"/>
  <c r="AI2" i="2"/>
  <c r="M5" i="2"/>
  <c r="C25" i="2"/>
  <c r="H24" i="2"/>
  <c r="AI3" i="2"/>
  <c r="C26" i="2"/>
</calcChain>
</file>

<file path=xl/sharedStrings.xml><?xml version="1.0" encoding="utf-8"?>
<sst xmlns="http://schemas.openxmlformats.org/spreadsheetml/2006/main" count="119" uniqueCount="67">
  <si>
    <t>NEXORA</t>
  </si>
  <si>
    <t xml:space="preserve">Consultoria Financeira </t>
  </si>
  <si>
    <t xml:space="preserve">FLUXO DE CAIXA PROFISSIONAL </t>
  </si>
  <si>
    <t>Controle financeiro inteligente para empresas e profissionais autônomos</t>
  </si>
  <si>
    <t>RECEITAS</t>
  </si>
  <si>
    <t>DESPESAS</t>
  </si>
  <si>
    <t>SALDO</t>
  </si>
  <si>
    <t>MARGEM</t>
  </si>
  <si>
    <t>Data</t>
  </si>
  <si>
    <t>Tipo</t>
  </si>
  <si>
    <t>Categoria</t>
  </si>
  <si>
    <t xml:space="preserve">Descrição </t>
  </si>
  <si>
    <t>Valor</t>
  </si>
  <si>
    <t>Forma de pagamento</t>
  </si>
  <si>
    <t>Observações</t>
  </si>
  <si>
    <t>Receita</t>
  </si>
  <si>
    <t>Despesa</t>
  </si>
  <si>
    <t>Vendas</t>
  </si>
  <si>
    <t>Serviços</t>
  </si>
  <si>
    <t>Comissões</t>
  </si>
  <si>
    <t>Investimentos</t>
  </si>
  <si>
    <t>Outros</t>
  </si>
  <si>
    <t>Marketing</t>
  </si>
  <si>
    <t>Salários</t>
  </si>
  <si>
    <t>Impostos</t>
  </si>
  <si>
    <t>Fornecedores</t>
  </si>
  <si>
    <t>Aluguel</t>
  </si>
  <si>
    <t>Internet</t>
  </si>
  <si>
    <t>Transporte</t>
  </si>
  <si>
    <t>Vencimento</t>
  </si>
  <si>
    <t>Fornecedor</t>
  </si>
  <si>
    <t>Descrição</t>
  </si>
  <si>
    <t>Status</t>
  </si>
  <si>
    <t xml:space="preserve">Data de Pagamento </t>
  </si>
  <si>
    <t>Pago</t>
  </si>
  <si>
    <t>Pendente</t>
  </si>
  <si>
    <t>Cliente</t>
  </si>
  <si>
    <t xml:space="preserve">Data de Recebimento </t>
  </si>
  <si>
    <t>Recebido</t>
  </si>
  <si>
    <t>Indicador</t>
  </si>
  <si>
    <t>Receita Total</t>
  </si>
  <si>
    <t>Despesa Total</t>
  </si>
  <si>
    <t>Saldo</t>
  </si>
  <si>
    <t>Contas a Pagar</t>
  </si>
  <si>
    <t>Contas a Receber</t>
  </si>
  <si>
    <t>Total Recebido</t>
  </si>
  <si>
    <t>Total Pago</t>
  </si>
  <si>
    <t>Lucro Líquido</t>
  </si>
  <si>
    <t>Atrasado</t>
  </si>
  <si>
    <t>DASHBOARD FINANCEIRO</t>
  </si>
  <si>
    <t>Margem</t>
  </si>
  <si>
    <t>Receitas</t>
  </si>
  <si>
    <t>Despesas</t>
  </si>
  <si>
    <t>Mês</t>
  </si>
  <si>
    <t>Meta</t>
  </si>
  <si>
    <t>Atual</t>
  </si>
  <si>
    <t>Progresso</t>
  </si>
  <si>
    <t>A pagar</t>
  </si>
  <si>
    <t xml:space="preserve">A receber </t>
  </si>
  <si>
    <t>Meta Financeira</t>
  </si>
  <si>
    <t>Meta:</t>
  </si>
  <si>
    <t>Atual:</t>
  </si>
  <si>
    <t>Progresso:</t>
  </si>
  <si>
    <t>Contas a</t>
  </si>
  <si>
    <t>Receber:</t>
  </si>
  <si>
    <t>Pagar: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</si>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</sst>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17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Arial"/>
      <family val="2"/>
    </font>
    <font>
      <sz val="11"/>
      <color rgb="FF54080D"/>
      <name val="Calibri"/>
      <family val="2"/>
      <scheme val="minor"/>
    </font>
    <font>
      <b/>
      <sz val="26"/>
      <color rgb="FF54080D"/>
      <name val="Georgia"/>
      <family val="1"/>
    </font>
    <font>
      <sz val="16"/>
      <color theme="1"/>
      <name val="Georgia"/>
      <family val="1"/>
    </font>
    <font>
      <sz val="28"/>
      <color theme="0"/>
      <name val="Georgia"/>
      <family val="1"/>
    </font>
    <font>
      <sz val="12"/>
      <color theme="0"/>
      <name val="Georgia"/>
      <family val="1"/>
    </font>
    <font>
      <sz val="11"/>
      <color theme="0"/>
      <name val="Calibri"/>
      <family val="2"/>
      <scheme val="minor"/>
    </font>
    <font>
      <sz val="20"/>
      <color rgb="FFFFFFFF"/>
      <name val="Georgia"/>
      <family val="1"/>
    </font>
    <font>
      <sz val="20"/>
      <color theme="1"/>
      <name val="Georgia"/>
      <family val="1"/>
    </font>
    <font>
      <b/>
      <sz val="11"/>
      <color theme="0"/>
      <name val="Georgia"/>
      <family val="1"/>
    </font>
    <font>
      <sz val="11"/>
      <color theme="0"/>
      <name val="Georg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010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4080D"/>
        <bgColor indexed="64"/>
      </patternFill>
    </fill>
    <fill>
      <patternFill patternType="solid">
        <fgColor rgb="FF6D1120"/>
        <bgColor indexed="64"/>
      </patternFill>
    </fill>
    <fill>
      <patternFill patternType="solid">
        <fgColor rgb="FF9F0D0D"/>
        <bgColor indexed="64"/>
      </patternFill>
    </fill>
    <fill>
      <patternFill patternType="solid">
        <fgColor rgb="FFDB2942"/>
        <bgColor indexed="64"/>
      </patternFill>
    </fill>
    <fill>
      <patternFill patternType="solid">
        <fgColor rgb="FFE1717C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6" fillId="0" borderId="0" xfId="0" applyFont="1" applyAlignment="1">
      <alignment vertical="center"/>
    </xf>
    <xf numFmtId="0" fontId="0" fillId="2" borderId="0" xfId="0" applyFill="1"/>
    <xf numFmtId="0" fontId="9" fillId="2" borderId="0" xfId="0" applyFont="1" applyFill="1"/>
    <xf numFmtId="0" fontId="12" fillId="6" borderId="0" xfId="0" applyFont="1" applyFill="1" applyAlignment="1">
      <alignment horizontal="center" vertical="center"/>
    </xf>
    <xf numFmtId="14" fontId="12" fillId="6" borderId="0" xfId="0" applyNumberFormat="1" applyFont="1" applyFill="1" applyAlignment="1">
      <alignment horizontal="center" vertical="center"/>
    </xf>
    <xf numFmtId="14" fontId="0" fillId="0" borderId="0" xfId="0" applyNumberFormat="1"/>
    <xf numFmtId="44" fontId="12" fillId="6" borderId="0" xfId="0" applyNumberFormat="1" applyFont="1" applyFill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horizontal="center" vertical="center"/>
    </xf>
    <xf numFmtId="14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44" fontId="13" fillId="6" borderId="0" xfId="0" applyNumberFormat="1" applyFont="1" applyFill="1" applyAlignment="1">
      <alignment horizontal="center" vertical="center"/>
    </xf>
    <xf numFmtId="2" fontId="0" fillId="0" borderId="0" xfId="0" applyNumberFormat="1"/>
    <xf numFmtId="2" fontId="12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1" xfId="0" applyBorder="1"/>
    <xf numFmtId="0" fontId="0" fillId="7" borderId="0" xfId="0" applyFill="1" applyAlignment="1">
      <alignment horizontal="center" vertical="center"/>
    </xf>
    <xf numFmtId="0" fontId="0" fillId="10" borderId="0" xfId="0" applyFill="1"/>
    <xf numFmtId="164" fontId="0" fillId="0" borderId="0" xfId="0" applyNumberFormat="1"/>
    <xf numFmtId="0" fontId="9" fillId="8" borderId="0" xfId="0" applyFont="1" applyFill="1" applyAlignment="1">
      <alignment vertical="center"/>
    </xf>
    <xf numFmtId="164" fontId="9" fillId="7" borderId="0" xfId="0" applyNumberFormat="1" applyFont="1" applyFill="1"/>
    <xf numFmtId="164" fontId="9" fillId="8" borderId="0" xfId="0" applyNumberFormat="1" applyFont="1" applyFill="1" applyAlignment="1">
      <alignment vertical="center"/>
    </xf>
    <xf numFmtId="0" fontId="9" fillId="9" borderId="0" xfId="0" applyFont="1" applyFill="1" applyAlignment="1">
      <alignment vertical="center"/>
    </xf>
    <xf numFmtId="9" fontId="9" fillId="10" borderId="0" xfId="0" applyNumberFormat="1" applyFont="1" applyFill="1" applyAlignment="1">
      <alignment vertical="center"/>
    </xf>
    <xf numFmtId="0" fontId="9" fillId="10" borderId="0" xfId="0" applyFont="1" applyFill="1" applyAlignment="1">
      <alignment vertical="center"/>
    </xf>
    <xf numFmtId="164" fontId="9" fillId="9" borderId="0" xfId="0" applyNumberFormat="1" applyFont="1" applyFill="1" applyAlignment="1">
      <alignment vertical="center"/>
    </xf>
    <xf numFmtId="10" fontId="0" fillId="0" borderId="0" xfId="0" applyNumberFormat="1"/>
    <xf numFmtId="10" fontId="9" fillId="10" borderId="0" xfId="0" applyNumberFormat="1" applyFont="1" applyFill="1" applyAlignment="1">
      <alignment vertical="center"/>
    </xf>
    <xf numFmtId="10" fontId="0" fillId="2" borderId="0" xfId="0" applyNumberFormat="1" applyFill="1"/>
    <xf numFmtId="0" fontId="0" fillId="11" borderId="2" xfId="0" applyFill="1" applyBorder="1"/>
    <xf numFmtId="0" fontId="15" fillId="0" borderId="2" xfId="0" applyFont="1" applyBorder="1"/>
    <xf numFmtId="164" fontId="0" fillId="0" borderId="2" xfId="0" applyNumberFormat="1" applyBorder="1"/>
    <xf numFmtId="10" fontId="0" fillId="2" borderId="2" xfId="0" applyNumberFormat="1" applyFill="1" applyBorder="1"/>
    <xf numFmtId="9" fontId="0" fillId="0" borderId="2" xfId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R$&quot;* #,##0.00_-;\-&quot;R$&quot;* #,##0.00_-;_-&quot;R$&quot;* &quot;-&quot;??_-;_-@_-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scheme val="none"/>
      </font>
      <fill>
        <patternFill patternType="solid">
          <fgColor indexed="64"/>
          <bgColor rgb="FF54080D"/>
        </patternFill>
      </fill>
      <alignment horizontal="center" vertical="center" textRotation="0" wrapText="0" indent="0" justifyLastLine="0" shrinkToFit="0" readingOrder="0"/>
    </dxf>
    <dxf>
      <numFmt numFmtId="19" formatCode="dd/mm/yyyy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54080D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eorgia"/>
        <scheme val="none"/>
      </font>
      <fill>
        <patternFill patternType="solid">
          <fgColor indexed="64"/>
          <bgColor rgb="FF54080D"/>
        </patternFill>
      </fill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Medium9"/>
  <colors>
    <mruColors>
      <color rgb="FF1F0102"/>
      <color rgb="FF160407"/>
      <color rgb="FFFF4747"/>
      <color rgb="FFFFC9C9"/>
      <color rgb="FF481014"/>
      <color rgb="FF800000"/>
      <color rgb="FFF9DBE0"/>
      <color rgb="FFFF0000"/>
      <color rgb="FF6D112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4747"/>
            </a:solidFill>
          </c:spPr>
          <c:dPt>
            <c:idx val="0"/>
            <c:bubble3D val="0"/>
            <c:spPr>
              <a:solidFill>
                <a:srgbClr val="48101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3C-4127-B61E-933E4026F3D6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3C-4127-B61E-933E4026F3D6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3C-4127-B61E-933E4026F3D6}"/>
              </c:ext>
            </c:extLst>
          </c:dPt>
          <c:dPt>
            <c:idx val="3"/>
            <c:bubble3D val="0"/>
            <c:spPr>
              <a:solidFill>
                <a:srgbClr val="F9DBE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83C-4127-B61E-933E4026F3D6}"/>
              </c:ext>
            </c:extLst>
          </c:dPt>
          <c:dPt>
            <c:idx val="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83C-4127-B61E-933E4026F3D6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83C-4127-B61E-933E4026F3D6}"/>
              </c:ext>
            </c:extLst>
          </c:dPt>
          <c:dPt>
            <c:idx val="6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83C-4127-B61E-933E4026F3D6}"/>
              </c:ext>
            </c:extLst>
          </c:dPt>
          <c:dPt>
            <c:idx val="7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3C-4127-B61E-933E4026F3D6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fld id="{7DFA4A26-D037-4E70-AF37-AD82EF4EBE4B}" type="VALU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83C-4127-B61E-933E4026F3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00E2DD6-7CE8-4FAF-9600-0CABB6C2FFBB}" type="VALU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83C-4127-B61E-933E4026F3D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4E89ABC-8404-448B-A0E4-1DFCA40AAC09}" type="VALUE">
                      <a:rPr lang="en-US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83C-4127-B61E-933E4026F3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Dashboard!$AA$2:$AA$9</c:f>
              <c:strCache>
                <c:ptCount val="8"/>
                <c:pt idx="0">
                  <c:v>Marketing</c:v>
                </c:pt>
                <c:pt idx="1">
                  <c:v>Salários</c:v>
                </c:pt>
                <c:pt idx="2">
                  <c:v>Impostos</c:v>
                </c:pt>
                <c:pt idx="3">
                  <c:v>Fornecedores</c:v>
                </c:pt>
                <c:pt idx="4">
                  <c:v>Aluguel</c:v>
                </c:pt>
                <c:pt idx="5">
                  <c:v>Internet</c:v>
                </c:pt>
                <c:pt idx="6">
                  <c:v>Transporte</c:v>
                </c:pt>
                <c:pt idx="7">
                  <c:v>Outros</c:v>
                </c:pt>
              </c:strCache>
            </c:strRef>
          </c:cat>
          <c:val>
            <c:numRef>
              <c:f>Dashboard!$AB$2:$AB$9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750</c:v>
                </c:pt>
                <c:pt idx="3">
                  <c:v>900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C-4127-B61E-933E4026F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8300925925925926"/>
          <c:w val="0.87753018372703417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Dashboard!$AE$1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Dashboard!$AD$2:$AD$3</c:f>
              <c:strCache>
                <c:ptCount val="2"/>
                <c:pt idx="0">
                  <c:v>Receitas</c:v>
                </c:pt>
                <c:pt idx="1">
                  <c:v>Despesas</c:v>
                </c:pt>
              </c:strCache>
            </c:strRef>
          </c:cat>
          <c:val>
            <c:numRef>
              <c:f>Dashboard!$AE$2:$AE$3</c:f>
              <c:numCache>
                <c:formatCode>General</c:formatCode>
                <c:ptCount val="2"/>
                <c:pt idx="0">
                  <c:v>2900</c:v>
                </c:pt>
                <c:pt idx="1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C-4615-84A0-763E3BA93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4140240"/>
        <c:axId val="2064150320"/>
      </c:barChart>
      <c:catAx>
        <c:axId val="206414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150320"/>
        <c:crosses val="autoZero"/>
        <c:auto val="1"/>
        <c:lblAlgn val="ctr"/>
        <c:lblOffset val="100"/>
        <c:noMultiLvlLbl val="0"/>
      </c:catAx>
      <c:valAx>
        <c:axId val="206415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81014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414024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agar!A1"/><Relationship Id="rId2" Type="http://schemas.openxmlformats.org/officeDocument/2006/relationships/hyperlink" Target="#Lan&#231;amentos!A1"/><Relationship Id="rId1" Type="http://schemas.openxmlformats.org/officeDocument/2006/relationships/hyperlink" Target="#Dashboard!A1"/><Relationship Id="rId5" Type="http://schemas.openxmlformats.org/officeDocument/2006/relationships/hyperlink" Target="#Indicadores!A1"/><Relationship Id="rId4" Type="http://schemas.openxmlformats.org/officeDocument/2006/relationships/hyperlink" Target="#Receber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14</xdr:row>
      <xdr:rowOff>0</xdr:rowOff>
    </xdr:from>
    <xdr:to>
      <xdr:col>4</xdr:col>
      <xdr:colOff>590550</xdr:colOff>
      <xdr:row>15</xdr:row>
      <xdr:rowOff>180975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E61962-97A8-E125-B7AD-977786D12446}"/>
            </a:ext>
          </a:extLst>
        </xdr:cNvPr>
        <xdr:cNvSpPr/>
      </xdr:nvSpPr>
      <xdr:spPr>
        <a:xfrm>
          <a:off x="1800225" y="2876550"/>
          <a:ext cx="1228725" cy="371475"/>
        </a:xfrm>
        <a:prstGeom prst="roundRect">
          <a:avLst/>
        </a:prstGeom>
        <a:solidFill>
          <a:srgbClr val="54080D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Dashboard</a:t>
          </a:r>
        </a:p>
      </xdr:txBody>
    </xdr:sp>
    <xdr:clientData/>
  </xdr:twoCellAnchor>
  <xdr:twoCellAnchor>
    <xdr:from>
      <xdr:col>5</xdr:col>
      <xdr:colOff>590550</xdr:colOff>
      <xdr:row>14</xdr:row>
      <xdr:rowOff>9525</xdr:rowOff>
    </xdr:from>
    <xdr:to>
      <xdr:col>7</xdr:col>
      <xdr:colOff>600075</xdr:colOff>
      <xdr:row>16</xdr:row>
      <xdr:rowOff>0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BFB0AA-7817-4F02-B68F-B15DD51975D6}"/>
            </a:ext>
            <a:ext uri="{147F2762-F138-4A5C-976F-8EAC2B608ADB}">
              <a16:predDERef xmlns:a16="http://schemas.microsoft.com/office/drawing/2014/main" pred="{B5E61962-97A8-E125-B7AD-977786D12446}"/>
            </a:ext>
          </a:extLst>
        </xdr:cNvPr>
        <xdr:cNvSpPr/>
      </xdr:nvSpPr>
      <xdr:spPr>
        <a:xfrm>
          <a:off x="3638550" y="2886075"/>
          <a:ext cx="1228725" cy="371475"/>
        </a:xfrm>
        <a:prstGeom prst="roundRect">
          <a:avLst/>
        </a:prstGeom>
        <a:solidFill>
          <a:srgbClr val="54080D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Lançamentos</a:t>
          </a:r>
        </a:p>
      </xdr:txBody>
    </xdr:sp>
    <xdr:clientData/>
  </xdr:twoCellAnchor>
  <xdr:twoCellAnchor>
    <xdr:from>
      <xdr:col>9</xdr:col>
      <xdr:colOff>9525</xdr:colOff>
      <xdr:row>14</xdr:row>
      <xdr:rowOff>9525</xdr:rowOff>
    </xdr:from>
    <xdr:to>
      <xdr:col>11</xdr:col>
      <xdr:colOff>19050</xdr:colOff>
      <xdr:row>16</xdr:row>
      <xdr:rowOff>0</xdr:rowOff>
    </xdr:to>
    <xdr:sp macro="" textlink="">
      <xdr:nvSpPr>
        <xdr:cNvPr id="5" name="Rounded 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F47C55-D454-42F9-8C59-C5EC379007FC}"/>
            </a:ext>
            <a:ext uri="{147F2762-F138-4A5C-976F-8EAC2B608ADB}">
              <a16:predDERef xmlns:a16="http://schemas.microsoft.com/office/drawing/2014/main" pred="{96BFB0AA-7817-4F02-B68F-B15DD51975D6}"/>
            </a:ext>
          </a:extLst>
        </xdr:cNvPr>
        <xdr:cNvSpPr/>
      </xdr:nvSpPr>
      <xdr:spPr>
        <a:xfrm>
          <a:off x="5495925" y="2886075"/>
          <a:ext cx="1228725" cy="371475"/>
        </a:xfrm>
        <a:prstGeom prst="roundRect">
          <a:avLst/>
        </a:prstGeom>
        <a:solidFill>
          <a:srgbClr val="54080D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Pagar</a:t>
          </a:r>
        </a:p>
      </xdr:txBody>
    </xdr:sp>
    <xdr:clientData/>
  </xdr:twoCellAnchor>
  <xdr:twoCellAnchor>
    <xdr:from>
      <xdr:col>11</xdr:col>
      <xdr:colOff>600075</xdr:colOff>
      <xdr:row>14</xdr:row>
      <xdr:rowOff>0</xdr:rowOff>
    </xdr:from>
    <xdr:to>
      <xdr:col>14</xdr:col>
      <xdr:colOff>0</xdr:colOff>
      <xdr:row>15</xdr:row>
      <xdr:rowOff>180975</xdr:rowOff>
    </xdr:to>
    <xdr:sp macro="" textlink="">
      <xdr:nvSpPr>
        <xdr:cNvPr id="6" name="Rounded 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32E5A0-D168-4995-BB15-3A8F44CDEE61}"/>
            </a:ext>
            <a:ext uri="{147F2762-F138-4A5C-976F-8EAC2B608ADB}">
              <a16:predDERef xmlns:a16="http://schemas.microsoft.com/office/drawing/2014/main" pred="{78F47C55-D454-42F9-8C59-C5EC379007FC}"/>
            </a:ext>
          </a:extLst>
        </xdr:cNvPr>
        <xdr:cNvSpPr/>
      </xdr:nvSpPr>
      <xdr:spPr>
        <a:xfrm>
          <a:off x="7305675" y="2876550"/>
          <a:ext cx="1228725" cy="371475"/>
        </a:xfrm>
        <a:prstGeom prst="roundRect">
          <a:avLst/>
        </a:prstGeom>
        <a:solidFill>
          <a:srgbClr val="54080D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Receber</a:t>
          </a:r>
        </a:p>
      </xdr:txBody>
    </xdr:sp>
    <xdr:clientData/>
  </xdr:twoCellAnchor>
  <xdr:twoCellAnchor>
    <xdr:from>
      <xdr:col>15</xdr:col>
      <xdr:colOff>9525</xdr:colOff>
      <xdr:row>13</xdr:row>
      <xdr:rowOff>190500</xdr:rowOff>
    </xdr:from>
    <xdr:to>
      <xdr:col>17</xdr:col>
      <xdr:colOff>19050</xdr:colOff>
      <xdr:row>15</xdr:row>
      <xdr:rowOff>171450</xdr:rowOff>
    </xdr:to>
    <xdr:sp macro="" textlink="">
      <xdr:nvSpPr>
        <xdr:cNvPr id="7" name="Rounded 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9F2145-9A2F-4E9D-8CCB-4C266BAE3EE2}"/>
            </a:ext>
            <a:ext uri="{147F2762-F138-4A5C-976F-8EAC2B608ADB}">
              <a16:predDERef xmlns:a16="http://schemas.microsoft.com/office/drawing/2014/main" pred="{F832E5A0-D168-4995-BB15-3A8F44CDEE61}"/>
            </a:ext>
          </a:extLst>
        </xdr:cNvPr>
        <xdr:cNvSpPr/>
      </xdr:nvSpPr>
      <xdr:spPr>
        <a:xfrm>
          <a:off x="9153525" y="2867025"/>
          <a:ext cx="1228725" cy="371475"/>
        </a:xfrm>
        <a:prstGeom prst="roundRect">
          <a:avLst/>
        </a:prstGeom>
        <a:solidFill>
          <a:srgbClr val="54080D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Indicadores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571499</xdr:colOff>
      <xdr:row>7</xdr:row>
      <xdr:rowOff>42862</xdr:rowOff>
    </xdr:from>
    <xdr:to>
      <xdr:col>19</xdr:col>
      <xdr:colOff>28574</xdr:colOff>
      <xdr:row>20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0A776D2-C421-CE9D-1C73-2BFC785AB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590550</xdr:colOff>
      <xdr:row>7</xdr:row>
      <xdr:rowOff>61912</xdr:rowOff>
    </xdr:from>
    <xdr:to>
      <xdr:col>7</xdr:col>
      <xdr:colOff>552450</xdr:colOff>
      <xdr:row>19</xdr:row>
      <xdr:rowOff>180975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1FA63CC-4BE3-725C-4A78-AB13E7433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0241D3-A83E-40E8-B7DF-E6343D0C6E9A}" name="Tabela19" displayName="Tabela19" ref="AD1:AE3" totalsRowShown="0">
  <autoFilter ref="AD1:AE3" xr:uid="{5C0241D3-A83E-40E8-B7DF-E6343D0C6E9A}"/>
  <tableColumns count="2">
    <tableColumn id="1" xr3:uid="{BF8EFC32-4AEF-49B8-AD9D-5464F3355474}" name="Indicador"/>
    <tableColumn id="2" xr3:uid="{83141D54-BF89-4F04-ABAE-7C5CEF0C7B55}" name="Valor" dataDxfId="18">
      <calculatedColumnFormula>Indicadores!B2</calculatedColumnFormula>
    </tableColumn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29E4FA-905F-4DDD-BB30-97C879F725A6}" name="Table2" displayName="Table2" ref="A1:H100" totalsRowShown="0" headerRowDxfId="17">
  <autoFilter ref="A1:H100" xr:uid="{4C29E4FA-905F-4DDD-BB30-97C879F725A6}"/>
  <tableColumns count="8">
    <tableColumn id="1" xr3:uid="{C8E2095F-1418-4CD7-B849-1A1F2B183EC8}" name="Data" dataDxfId="16"/>
    <tableColumn id="2" xr3:uid="{FF6B4F0B-A4E6-4771-9251-9C69E958D357}" name="Tipo"/>
    <tableColumn id="3" xr3:uid="{D76926E4-A57E-4869-AF32-69AD625002D8}" name="Categoria"/>
    <tableColumn id="4" xr3:uid="{E6E79CF8-3668-4264-85F1-B47B12E732A5}" name="Descrição "/>
    <tableColumn id="5" xr3:uid="{DCEA9675-E78E-4688-A7D8-76729399CD50}" name="Valor" dataDxfId="15"/>
    <tableColumn id="6" xr3:uid="{C8C465A5-45DF-4954-8606-D4BCB328BCE3}" name="Forma de pagamento"/>
    <tableColumn id="7" xr3:uid="{A49C3CF2-3A3D-49D1-8356-A9FC5113CACC}" name="Observações"/>
    <tableColumn id="8" xr3:uid="{CD3A662A-0C25-4B62-B1D8-D314F2CEFCA6}" name="Mês" dataDxfId="14">
      <calculatedColumnFormula>IF(A2="","",TEXT(A2,"mmm"))</calculatedColumnFormula>
    </tableColumn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E55866-FB89-4C42-8234-239C45430245}" name="Table3" displayName="Table3" ref="A1:G100" totalsRowShown="0" headerRowDxfId="13">
  <autoFilter ref="A1:G100" xr:uid="{A0E55866-FB89-4C42-8234-239C45430245}"/>
  <tableColumns count="7">
    <tableColumn id="1" xr3:uid="{FBF44DEA-487B-4FA0-9780-ED71700384AF}" name="Vencimento"/>
    <tableColumn id="2" xr3:uid="{C4AE9D00-4A0F-4309-B691-4407027257CA}" name="Fornecedor"/>
    <tableColumn id="3" xr3:uid="{B2711EE5-1A53-42DC-939B-33135EAAB807}" name="Categoria"/>
    <tableColumn id="4" xr3:uid="{A26B1C40-FCB8-4921-BFA1-BD1DB7F7D8CA}" name="Descrição"/>
    <tableColumn id="5" xr3:uid="{84D5146C-4B43-4B78-930E-7E7BA0C2D4BD}" name="Valor" dataDxfId="12"/>
    <tableColumn id="6" xr3:uid="{1CFFB949-A9FF-4C17-AE20-5FB60EC0DDA3}" name="Status"/>
    <tableColumn id="7" xr3:uid="{061D0453-DFA8-43DE-8AF5-71DC3FBF5FE2}" name="Data de Pagamento " dataDxfId="11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D38C3B-B9B4-457E-AF69-EE8894865C72}" name="Table4" displayName="Table4" ref="A1:G100" totalsRowShown="0" headerRowDxfId="10">
  <autoFilter ref="A1:G100" xr:uid="{BED38C3B-B9B4-457E-AF69-EE8894865C72}"/>
  <tableColumns count="7">
    <tableColumn id="1" xr3:uid="{9027CED3-C984-4D75-B717-FB15B61078F3}" name="Vencimento" dataDxfId="9"/>
    <tableColumn id="2" xr3:uid="{328B3591-EAB4-4BB3-9378-7DB8084A8DDB}" name="Cliente"/>
    <tableColumn id="3" xr3:uid="{676936D3-E238-4D48-BC8C-2F8CC5076798}" name="Categoria"/>
    <tableColumn id="4" xr3:uid="{41D03C07-8E75-419A-AE49-AD137F72BFE3}" name="Descrição"/>
    <tableColumn id="5" xr3:uid="{B18652DF-0F7F-4947-8B16-B61EFB00E976}" name="Valor" dataDxfId="8"/>
    <tableColumn id="6" xr3:uid="{5043C730-59EF-45D7-8CE9-4E7371EDA363}" name="Status"/>
    <tableColumn id="7" xr3:uid="{FF985908-F868-4213-8E01-95FB2CCD3882}" name="Data de Recebimento " dataDxfId="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436FB-F3BA-4A00-9B07-4A467C55C0CC}" name="Tabela1" displayName="Tabela1" ref="A1:B10" totalsRowShown="0">
  <autoFilter ref="A1:B10" xr:uid="{33D436FB-F3BA-4A00-9B07-4A467C55C0CC}"/>
  <tableColumns count="2">
    <tableColumn id="1" xr3:uid="{F39C1DC6-C9C7-4C96-8AAB-5207AF6FC3E9}" name="Indicador"/>
    <tableColumn id="2" xr3:uid="{556E78AC-4952-4C04-B8FC-A94128AC50B3}" name="Valor" dataDxfId="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showGridLines="0" workbookViewId="0">
      <selection activeCell="K17" sqref="K17"/>
    </sheetView>
  </sheetViews>
  <sheetFormatPr defaultRowHeight="15" x14ac:dyDescent="0.25"/>
  <sheetData>
    <row r="1" spans="1:21" x14ac:dyDescent="0.25">
      <c r="A1" s="4"/>
      <c r="B1" s="4"/>
      <c r="C1" s="4"/>
      <c r="D1" s="4"/>
      <c r="E1" s="4"/>
      <c r="F1" s="4"/>
      <c r="G1" s="4"/>
      <c r="H1" s="47" t="s">
        <v>0</v>
      </c>
      <c r="I1" s="47"/>
      <c r="J1" s="47"/>
      <c r="K1" s="47"/>
      <c r="L1" s="47"/>
      <c r="M1" s="47"/>
      <c r="N1" s="5"/>
      <c r="O1" s="5"/>
      <c r="P1" s="5"/>
      <c r="Q1" s="5"/>
      <c r="R1" s="5"/>
      <c r="S1" s="5"/>
      <c r="T1" s="5"/>
      <c r="U1" s="5"/>
    </row>
    <row r="2" spans="1:21" x14ac:dyDescent="0.25">
      <c r="A2" s="4"/>
      <c r="B2" s="4"/>
      <c r="C2" s="4"/>
      <c r="D2" s="4"/>
      <c r="E2" s="4"/>
      <c r="F2" s="4"/>
      <c r="G2" s="4"/>
      <c r="H2" s="47"/>
      <c r="I2" s="47"/>
      <c r="J2" s="47"/>
      <c r="K2" s="47"/>
      <c r="L2" s="47"/>
      <c r="M2" s="47"/>
      <c r="N2" s="5"/>
      <c r="O2" s="5"/>
      <c r="P2" s="5"/>
      <c r="Q2" s="5"/>
      <c r="R2" s="5"/>
      <c r="S2" s="5"/>
      <c r="T2" s="5"/>
      <c r="U2" s="5"/>
    </row>
    <row r="3" spans="1:21" x14ac:dyDescent="0.25">
      <c r="A3" s="4"/>
      <c r="B3" s="4"/>
      <c r="C3" s="4"/>
      <c r="D3" s="4"/>
      <c r="E3" s="4"/>
      <c r="F3" s="4"/>
      <c r="G3" s="4"/>
      <c r="H3" s="47"/>
      <c r="I3" s="47"/>
      <c r="J3" s="47"/>
      <c r="K3" s="47"/>
      <c r="L3" s="47"/>
      <c r="M3" s="47"/>
      <c r="N3" s="5"/>
      <c r="O3" s="5"/>
      <c r="P3" s="5"/>
      <c r="Q3" s="5"/>
      <c r="R3" s="5"/>
      <c r="S3" s="5"/>
      <c r="T3" s="5"/>
      <c r="U3" s="5"/>
    </row>
    <row r="4" spans="1:21" x14ac:dyDescent="0.25">
      <c r="A4" s="4"/>
      <c r="B4" s="4"/>
      <c r="C4" s="4"/>
      <c r="D4" s="4"/>
      <c r="E4" s="4"/>
      <c r="F4" s="4"/>
      <c r="G4" s="4"/>
      <c r="H4" s="47"/>
      <c r="I4" s="47"/>
      <c r="J4" s="47"/>
      <c r="K4" s="47"/>
      <c r="L4" s="47"/>
      <c r="M4" s="47"/>
      <c r="N4" s="5"/>
      <c r="O4" s="5"/>
      <c r="P4" s="5"/>
      <c r="Q4" s="5"/>
      <c r="R4" s="5"/>
      <c r="S4" s="5"/>
      <c r="T4" s="5"/>
      <c r="U4" s="5"/>
    </row>
    <row r="5" spans="1:21" ht="15.75" x14ac:dyDescent="0.25">
      <c r="H5" s="48" t="s">
        <v>1</v>
      </c>
      <c r="I5" s="48"/>
      <c r="J5" s="48"/>
      <c r="K5" s="48"/>
      <c r="L5" s="48"/>
      <c r="M5" s="48"/>
    </row>
    <row r="9" spans="1:21" ht="24.75" customHeight="1" x14ac:dyDescent="0.45">
      <c r="F9" s="49" t="s">
        <v>2</v>
      </c>
      <c r="G9" s="49"/>
      <c r="H9" s="49"/>
      <c r="I9" s="49"/>
      <c r="J9" s="49"/>
      <c r="K9" s="49"/>
      <c r="L9" s="49"/>
      <c r="M9" s="49"/>
      <c r="N9" s="49"/>
      <c r="O9" s="49"/>
      <c r="P9" s="49"/>
    </row>
    <row r="12" spans="1:21" ht="20.25" x14ac:dyDescent="0.25">
      <c r="F12" s="6" t="s">
        <v>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21" x14ac:dyDescent="0.25">
      <c r="N13" s="2"/>
    </row>
    <row r="14" spans="1:21" ht="15.75" customHeight="1" x14ac:dyDescent="0.4">
      <c r="I14" s="1"/>
    </row>
    <row r="15" spans="1:21" x14ac:dyDescent="0.25">
      <c r="G15" s="3"/>
    </row>
  </sheetData>
  <mergeCells count="3">
    <mergeCell ref="H1:M4"/>
    <mergeCell ref="H5:M5"/>
    <mergeCell ref="F9:P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1FE5-3245-4FE6-9105-25A7CD3F82B0}">
  <dimension ref="A1:AL26"/>
  <sheetViews>
    <sheetView showGridLines="0" tabSelected="1" workbookViewId="0">
      <selection activeCell="V15" sqref="V15"/>
    </sheetView>
  </sheetViews>
  <sheetFormatPr defaultRowHeight="15" x14ac:dyDescent="0.25"/>
  <cols>
    <col min="2" max="2" width="9.85546875" customWidth="1"/>
    <col min="3" max="3" width="11.7109375" bestFit="1" customWidth="1"/>
    <col min="8" max="8" width="11.7109375" bestFit="1" customWidth="1"/>
    <col min="13" max="13" width="11.7109375" bestFit="1" customWidth="1"/>
    <col min="19" max="19" width="11.7109375" bestFit="1" customWidth="1"/>
    <col min="26" max="26" width="9.140625" customWidth="1"/>
    <col min="27" max="27" width="13.28515625" hidden="1" customWidth="1"/>
    <col min="28" max="28" width="9.140625" hidden="1" customWidth="1"/>
    <col min="30" max="31" width="9.140625" hidden="1" customWidth="1"/>
    <col min="34" max="34" width="0" hidden="1" customWidth="1"/>
    <col min="35" max="35" width="11.7109375" hidden="1" customWidth="1"/>
    <col min="37" max="37" width="0" hidden="1" customWidth="1"/>
    <col min="38" max="38" width="11.7109375" hidden="1" customWidth="1"/>
  </cols>
  <sheetData>
    <row r="1" spans="1:38" x14ac:dyDescent="0.25">
      <c r="A1" s="41" t="s">
        <v>49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AD1" s="23" t="s">
        <v>39</v>
      </c>
      <c r="AE1" s="23" t="s">
        <v>12</v>
      </c>
      <c r="AH1" t="s">
        <v>54</v>
      </c>
      <c r="AI1" s="24">
        <v>3000</v>
      </c>
      <c r="AK1" t="s">
        <v>57</v>
      </c>
      <c r="AL1" s="24">
        <f>SUM(Pagar!E:E)</f>
        <v>1270</v>
      </c>
    </row>
    <row r="2" spans="1:38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AA2" s="14" t="s">
        <v>22</v>
      </c>
      <c r="AB2">
        <f>SUMIFS(Lançamentos!E:E,Lançamentos!C:C,AA2)</f>
        <v>0</v>
      </c>
      <c r="AD2" t="s">
        <v>51</v>
      </c>
      <c r="AE2">
        <f>Indicadores!B2</f>
        <v>2900</v>
      </c>
      <c r="AH2" t="s">
        <v>55</v>
      </c>
      <c r="AI2" s="24">
        <f>Indicadores!B4</f>
        <v>1250</v>
      </c>
      <c r="AK2" t="s">
        <v>58</v>
      </c>
      <c r="AL2" s="24">
        <f>SUM(Receber!E:E)</f>
        <v>760</v>
      </c>
    </row>
    <row r="3" spans="1:38" x14ac:dyDescent="0.25">
      <c r="AA3" s="14" t="s">
        <v>23</v>
      </c>
      <c r="AB3">
        <f>SUMIFS(Lançamentos!E:E,Lançamentos!C:C,AA3)</f>
        <v>0</v>
      </c>
      <c r="AD3" t="s">
        <v>52</v>
      </c>
      <c r="AE3">
        <f>Indicadores!B3</f>
        <v>1650</v>
      </c>
      <c r="AH3" t="s">
        <v>56</v>
      </c>
      <c r="AI3" s="34">
        <f>AI2/AI1</f>
        <v>0.41666666666666669</v>
      </c>
    </row>
    <row r="4" spans="1:38" x14ac:dyDescent="0.25">
      <c r="B4" s="43" t="s">
        <v>4</v>
      </c>
      <c r="C4" s="43"/>
      <c r="D4" s="43"/>
      <c r="G4" s="44" t="s">
        <v>5</v>
      </c>
      <c r="H4" s="44"/>
      <c r="I4" s="44"/>
      <c r="L4" s="45" t="s">
        <v>6</v>
      </c>
      <c r="M4" s="45"/>
      <c r="N4" s="45"/>
      <c r="Q4" s="46" t="s">
        <v>7</v>
      </c>
      <c r="R4" s="46"/>
      <c r="S4" s="46"/>
      <c r="AA4" s="14" t="s">
        <v>24</v>
      </c>
      <c r="AB4">
        <f>SUMIFS(Lançamentos!E:E,Lançamentos!C:C,AA4)</f>
        <v>750</v>
      </c>
    </row>
    <row r="5" spans="1:38" x14ac:dyDescent="0.25">
      <c r="B5" s="22"/>
      <c r="C5" s="26">
        <f>Indicadores!B2</f>
        <v>2900</v>
      </c>
      <c r="D5" s="22"/>
      <c r="G5" s="25"/>
      <c r="H5" s="27">
        <f>Indicadores!B3</f>
        <v>1650</v>
      </c>
      <c r="I5" s="25"/>
      <c r="L5" s="28"/>
      <c r="M5" s="31">
        <f>Indicadores!B4</f>
        <v>1250</v>
      </c>
      <c r="N5" s="28"/>
      <c r="Q5" s="29"/>
      <c r="R5" s="33">
        <f>Indicadores!B10</f>
        <v>0.43103448275862066</v>
      </c>
      <c r="S5" s="30"/>
      <c r="AA5" s="14" t="s">
        <v>25</v>
      </c>
      <c r="AB5">
        <f>SUMIFS(Lançamentos!E:E,Lançamentos!C:C,AA5)</f>
        <v>900</v>
      </c>
    </row>
    <row r="6" spans="1:38" x14ac:dyDescent="0.25">
      <c r="AA6" s="14" t="s">
        <v>26</v>
      </c>
      <c r="AB6">
        <f>SUMIFS(Lançamentos!E:E,Lançamentos!C:C,AA6)</f>
        <v>0</v>
      </c>
    </row>
    <row r="7" spans="1:38" x14ac:dyDescent="0.25">
      <c r="AA7" s="14" t="s">
        <v>27</v>
      </c>
      <c r="AB7">
        <f>SUMIFS(Lançamentos!E:E,Lançamentos!C:C,AA7)</f>
        <v>0</v>
      </c>
    </row>
    <row r="8" spans="1:38" x14ac:dyDescent="0.25">
      <c r="AA8" s="14" t="s">
        <v>28</v>
      </c>
      <c r="AB8">
        <f>SUMIFS(Lançamentos!E:E,Lançamentos!C:C,AA8)</f>
        <v>0</v>
      </c>
    </row>
    <row r="9" spans="1:38" x14ac:dyDescent="0.25">
      <c r="AA9" s="14" t="s">
        <v>21</v>
      </c>
      <c r="AB9">
        <f>SUMIFS(Lançamentos!E:E,Lançamentos!C:C,AA9)</f>
        <v>400</v>
      </c>
    </row>
    <row r="11" spans="1:38" ht="16.5" customHeight="1" x14ac:dyDescent="0.25">
      <c r="B11" s="7"/>
      <c r="C11" s="7"/>
      <c r="D11" s="21"/>
    </row>
    <row r="12" spans="1:38" ht="15" customHeight="1" x14ac:dyDescent="0.25">
      <c r="Z12" s="18"/>
    </row>
    <row r="13" spans="1:38" x14ac:dyDescent="0.25">
      <c r="H13" s="8"/>
    </row>
    <row r="23" spans="2:19" ht="18.75" x14ac:dyDescent="0.3">
      <c r="B23" s="35" t="s">
        <v>59</v>
      </c>
      <c r="C23" s="35"/>
      <c r="J23" s="40" t="s">
        <v>54</v>
      </c>
      <c r="K23" s="40"/>
      <c r="Q23" s="35"/>
      <c r="R23" s="35" t="s">
        <v>66</v>
      </c>
      <c r="S23" s="35"/>
    </row>
    <row r="24" spans="2:19" x14ac:dyDescent="0.25">
      <c r="B24" s="36" t="s">
        <v>60</v>
      </c>
      <c r="C24" s="37">
        <f>Dashboard!AI1</f>
        <v>3000</v>
      </c>
      <c r="H24" s="39">
        <f>AI2/AI1</f>
        <v>0.41666666666666669</v>
      </c>
      <c r="I24" s="39"/>
      <c r="J24" s="39"/>
      <c r="K24" s="39"/>
      <c r="L24" s="39"/>
      <c r="M24" s="39"/>
      <c r="Q24" s="36" t="s">
        <v>63</v>
      </c>
      <c r="R24" s="36" t="s">
        <v>65</v>
      </c>
      <c r="S24" s="37">
        <f>Dashboard!AL1</f>
        <v>1270</v>
      </c>
    </row>
    <row r="25" spans="2:19" x14ac:dyDescent="0.25">
      <c r="B25" s="36" t="s">
        <v>61</v>
      </c>
      <c r="C25" s="37">
        <f>Dashboard!AI2</f>
        <v>1250</v>
      </c>
      <c r="Q25" s="36" t="s">
        <v>63</v>
      </c>
      <c r="R25" s="36" t="s">
        <v>64</v>
      </c>
      <c r="S25" s="37">
        <f>Dashboard!AL2</f>
        <v>760</v>
      </c>
    </row>
    <row r="26" spans="2:19" x14ac:dyDescent="0.25">
      <c r="B26" s="36" t="s">
        <v>62</v>
      </c>
      <c r="C26" s="38">
        <f>Dashboard!AI3</f>
        <v>0.41666666666666669</v>
      </c>
    </row>
  </sheetData>
  <mergeCells count="7">
    <mergeCell ref="H24:M24"/>
    <mergeCell ref="J23:K23"/>
    <mergeCell ref="A1:T2"/>
    <mergeCell ref="B4:D4"/>
    <mergeCell ref="G4:I4"/>
    <mergeCell ref="L4:N4"/>
    <mergeCell ref="Q4:S4"/>
  </mergeCells>
  <conditionalFormatting sqref="H24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{1D0C4FE8-E676-4EE9-ACBA-F0F1B0C779FB}</x14:id>
        </ext>
      </extLst>
    </cfRule>
  </conditionalFormatting>
  <conditionalFormatting sqref="H24:M24">
    <cfRule type="colorScale" priority="3">
      <colorScale>
        <cfvo type="percent" val="0"/>
        <cfvo type="percent" val="100"/>
        <color rgb="FFFF7128"/>
        <color theme="8" tint="0.39997558519241921"/>
      </colorScale>
    </cfRule>
    <cfRule type="colorScale" priority="4">
      <colorScale>
        <cfvo type="min"/>
        <cfvo type="percent" val="100"/>
        <color rgb="FFFF7128"/>
        <color rgb="FFFFEF9C"/>
      </colorScale>
    </cfRule>
  </conditionalFormatting>
  <conditionalFormatting sqref="AI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{B1D87740-017B-45D2-A29D-FFE9E7DE1228}</x14:id>
        </ext>
      </extLs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0C4FE8-E676-4EE9-ACBA-F0F1B0C779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B1D87740-017B-45D2-A29D-FFE9E7DE12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6548-F5EE-4C6B-95FB-16AFCF41B958}">
  <dimension ref="A1:H100"/>
  <sheetViews>
    <sheetView workbookViewId="0">
      <selection activeCell="A19" sqref="A19"/>
    </sheetView>
  </sheetViews>
  <sheetFormatPr defaultRowHeight="15" x14ac:dyDescent="0.25"/>
  <cols>
    <col min="1" max="1" width="15.7109375" style="11" customWidth="1"/>
    <col min="2" max="2" width="15.7109375" customWidth="1"/>
    <col min="3" max="3" width="25.7109375" customWidth="1"/>
    <col min="4" max="4" width="40.7109375" customWidth="1"/>
    <col min="5" max="5" width="15.7109375" style="13" customWidth="1"/>
    <col min="6" max="6" width="26.85546875" bestFit="1" customWidth="1"/>
    <col min="7" max="7" width="17.28515625" bestFit="1" customWidth="1"/>
    <col min="8" max="8" width="9.140625" style="18"/>
  </cols>
  <sheetData>
    <row r="1" spans="1:8" x14ac:dyDescent="0.25">
      <c r="A1" s="10" t="s">
        <v>8</v>
      </c>
      <c r="B1" s="9" t="s">
        <v>9</v>
      </c>
      <c r="C1" s="9" t="s">
        <v>10</v>
      </c>
      <c r="D1" s="9" t="s">
        <v>11</v>
      </c>
      <c r="E1" s="20" t="s">
        <v>12</v>
      </c>
      <c r="F1" s="9" t="s">
        <v>13</v>
      </c>
      <c r="G1" s="9" t="s">
        <v>14</v>
      </c>
      <c r="H1" s="19" t="s">
        <v>53</v>
      </c>
    </row>
    <row r="2" spans="1:8" x14ac:dyDescent="0.25">
      <c r="A2" s="11">
        <v>45721</v>
      </c>
      <c r="B2" t="s">
        <v>15</v>
      </c>
      <c r="C2" t="s">
        <v>18</v>
      </c>
      <c r="E2" s="13">
        <v>500</v>
      </c>
      <c r="H2" s="18" t="str">
        <f>IF(A2="","",PROPER(TEXT(A2,"mmmm")))</f>
        <v>Março</v>
      </c>
    </row>
    <row r="3" spans="1:8" x14ac:dyDescent="0.25">
      <c r="A3" s="11">
        <v>45902</v>
      </c>
      <c r="B3" t="s">
        <v>16</v>
      </c>
      <c r="C3" t="s">
        <v>24</v>
      </c>
      <c r="E3" s="13">
        <v>750</v>
      </c>
      <c r="H3" s="18" t="str">
        <f t="shared" ref="H3:H66" si="0">IF(A3="","",PROPER(TEXT(A3,"mmmm")))</f>
        <v>Setembro</v>
      </c>
    </row>
    <row r="4" spans="1:8" x14ac:dyDescent="0.25">
      <c r="A4" s="11">
        <v>46031</v>
      </c>
      <c r="B4" t="s">
        <v>15</v>
      </c>
      <c r="C4" t="s">
        <v>20</v>
      </c>
      <c r="E4" s="13">
        <v>2000</v>
      </c>
      <c r="H4" s="18" t="str">
        <f t="shared" si="0"/>
        <v>Janeiro</v>
      </c>
    </row>
    <row r="5" spans="1:8" x14ac:dyDescent="0.25">
      <c r="A5" s="11">
        <v>46152</v>
      </c>
      <c r="B5" t="s">
        <v>16</v>
      </c>
      <c r="C5" t="s">
        <v>25</v>
      </c>
      <c r="E5" s="13">
        <v>900</v>
      </c>
      <c r="H5" s="18" t="str">
        <f t="shared" si="0"/>
        <v>Maio</v>
      </c>
    </row>
    <row r="6" spans="1:8" x14ac:dyDescent="0.25">
      <c r="A6" s="11">
        <v>46181</v>
      </c>
      <c r="B6" t="s">
        <v>15</v>
      </c>
      <c r="C6" t="s">
        <v>21</v>
      </c>
      <c r="E6" s="13">
        <v>400</v>
      </c>
      <c r="H6" s="18" t="str">
        <f t="shared" si="0"/>
        <v>Junho</v>
      </c>
    </row>
    <row r="7" spans="1:8" x14ac:dyDescent="0.25">
      <c r="H7" s="18" t="str">
        <f t="shared" si="0"/>
        <v/>
      </c>
    </row>
    <row r="8" spans="1:8" x14ac:dyDescent="0.25">
      <c r="H8" s="18" t="str">
        <f t="shared" si="0"/>
        <v/>
      </c>
    </row>
    <row r="9" spans="1:8" x14ac:dyDescent="0.25">
      <c r="H9" s="18" t="str">
        <f t="shared" si="0"/>
        <v/>
      </c>
    </row>
    <row r="10" spans="1:8" x14ac:dyDescent="0.25">
      <c r="H10" s="18" t="str">
        <f t="shared" si="0"/>
        <v/>
      </c>
    </row>
    <row r="11" spans="1:8" x14ac:dyDescent="0.25">
      <c r="H11" s="18" t="str">
        <f t="shared" si="0"/>
        <v/>
      </c>
    </row>
    <row r="12" spans="1:8" x14ac:dyDescent="0.25">
      <c r="H12" s="18" t="str">
        <f t="shared" si="0"/>
        <v/>
      </c>
    </row>
    <row r="13" spans="1:8" x14ac:dyDescent="0.25">
      <c r="H13" s="18" t="str">
        <f t="shared" si="0"/>
        <v/>
      </c>
    </row>
    <row r="14" spans="1:8" x14ac:dyDescent="0.25">
      <c r="H14" s="18" t="str">
        <f t="shared" si="0"/>
        <v/>
      </c>
    </row>
    <row r="15" spans="1:8" x14ac:dyDescent="0.25">
      <c r="H15" s="18" t="str">
        <f t="shared" si="0"/>
        <v/>
      </c>
    </row>
    <row r="16" spans="1:8" x14ac:dyDescent="0.25">
      <c r="H16" s="18" t="str">
        <f t="shared" si="0"/>
        <v/>
      </c>
    </row>
    <row r="17" spans="8:8" x14ac:dyDescent="0.25">
      <c r="H17" s="18" t="str">
        <f t="shared" si="0"/>
        <v/>
      </c>
    </row>
    <row r="18" spans="8:8" x14ac:dyDescent="0.25">
      <c r="H18" s="18" t="str">
        <f t="shared" si="0"/>
        <v/>
      </c>
    </row>
    <row r="19" spans="8:8" x14ac:dyDescent="0.25">
      <c r="H19" s="18" t="str">
        <f t="shared" si="0"/>
        <v/>
      </c>
    </row>
    <row r="20" spans="8:8" x14ac:dyDescent="0.25">
      <c r="H20" s="18" t="str">
        <f t="shared" si="0"/>
        <v/>
      </c>
    </row>
    <row r="21" spans="8:8" x14ac:dyDescent="0.25">
      <c r="H21" s="18" t="str">
        <f t="shared" si="0"/>
        <v/>
      </c>
    </row>
    <row r="22" spans="8:8" x14ac:dyDescent="0.25">
      <c r="H22" s="18" t="str">
        <f t="shared" si="0"/>
        <v/>
      </c>
    </row>
    <row r="23" spans="8:8" x14ac:dyDescent="0.25">
      <c r="H23" s="18" t="str">
        <f t="shared" si="0"/>
        <v/>
      </c>
    </row>
    <row r="24" spans="8:8" x14ac:dyDescent="0.25">
      <c r="H24" s="18" t="str">
        <f t="shared" si="0"/>
        <v/>
      </c>
    </row>
    <row r="25" spans="8:8" x14ac:dyDescent="0.25">
      <c r="H25" s="18" t="str">
        <f t="shared" si="0"/>
        <v/>
      </c>
    </row>
    <row r="26" spans="8:8" x14ac:dyDescent="0.25">
      <c r="H26" s="18" t="str">
        <f t="shared" si="0"/>
        <v/>
      </c>
    </row>
    <row r="27" spans="8:8" x14ac:dyDescent="0.25">
      <c r="H27" s="18" t="str">
        <f t="shared" si="0"/>
        <v/>
      </c>
    </row>
    <row r="28" spans="8:8" x14ac:dyDescent="0.25">
      <c r="H28" s="18" t="str">
        <f t="shared" si="0"/>
        <v/>
      </c>
    </row>
    <row r="29" spans="8:8" x14ac:dyDescent="0.25">
      <c r="H29" s="18" t="str">
        <f t="shared" si="0"/>
        <v/>
      </c>
    </row>
    <row r="30" spans="8:8" x14ac:dyDescent="0.25">
      <c r="H30" s="18" t="str">
        <f t="shared" si="0"/>
        <v/>
      </c>
    </row>
    <row r="31" spans="8:8" x14ac:dyDescent="0.25">
      <c r="H31" s="18" t="str">
        <f t="shared" si="0"/>
        <v/>
      </c>
    </row>
    <row r="32" spans="8:8" x14ac:dyDescent="0.25">
      <c r="H32" s="18" t="str">
        <f t="shared" si="0"/>
        <v/>
      </c>
    </row>
    <row r="33" spans="8:8" x14ac:dyDescent="0.25">
      <c r="H33" s="18" t="str">
        <f t="shared" si="0"/>
        <v/>
      </c>
    </row>
    <row r="34" spans="8:8" x14ac:dyDescent="0.25">
      <c r="H34" s="18" t="str">
        <f t="shared" si="0"/>
        <v/>
      </c>
    </row>
    <row r="35" spans="8:8" x14ac:dyDescent="0.25">
      <c r="H35" s="18" t="str">
        <f t="shared" si="0"/>
        <v/>
      </c>
    </row>
    <row r="36" spans="8:8" x14ac:dyDescent="0.25">
      <c r="H36" s="18" t="str">
        <f t="shared" si="0"/>
        <v/>
      </c>
    </row>
    <row r="37" spans="8:8" x14ac:dyDescent="0.25">
      <c r="H37" s="18" t="str">
        <f t="shared" si="0"/>
        <v/>
      </c>
    </row>
    <row r="38" spans="8:8" x14ac:dyDescent="0.25">
      <c r="H38" s="18" t="str">
        <f t="shared" si="0"/>
        <v/>
      </c>
    </row>
    <row r="39" spans="8:8" x14ac:dyDescent="0.25">
      <c r="H39" s="18" t="str">
        <f t="shared" si="0"/>
        <v/>
      </c>
    </row>
    <row r="40" spans="8:8" x14ac:dyDescent="0.25">
      <c r="H40" s="18" t="str">
        <f t="shared" si="0"/>
        <v/>
      </c>
    </row>
    <row r="41" spans="8:8" x14ac:dyDescent="0.25">
      <c r="H41" s="18" t="str">
        <f t="shared" si="0"/>
        <v/>
      </c>
    </row>
    <row r="42" spans="8:8" x14ac:dyDescent="0.25">
      <c r="H42" s="18" t="str">
        <f t="shared" si="0"/>
        <v/>
      </c>
    </row>
    <row r="43" spans="8:8" x14ac:dyDescent="0.25">
      <c r="H43" s="18" t="str">
        <f t="shared" si="0"/>
        <v/>
      </c>
    </row>
    <row r="44" spans="8:8" x14ac:dyDescent="0.25">
      <c r="H44" s="18" t="str">
        <f t="shared" si="0"/>
        <v/>
      </c>
    </row>
    <row r="45" spans="8:8" x14ac:dyDescent="0.25">
      <c r="H45" s="18" t="str">
        <f t="shared" si="0"/>
        <v/>
      </c>
    </row>
    <row r="46" spans="8:8" x14ac:dyDescent="0.25">
      <c r="H46" s="18" t="str">
        <f t="shared" si="0"/>
        <v/>
      </c>
    </row>
    <row r="47" spans="8:8" x14ac:dyDescent="0.25">
      <c r="H47" s="18" t="str">
        <f t="shared" si="0"/>
        <v/>
      </c>
    </row>
    <row r="48" spans="8:8" x14ac:dyDescent="0.25">
      <c r="H48" s="18" t="str">
        <f t="shared" si="0"/>
        <v/>
      </c>
    </row>
    <row r="49" spans="8:8" x14ac:dyDescent="0.25">
      <c r="H49" s="18" t="str">
        <f t="shared" si="0"/>
        <v/>
      </c>
    </row>
    <row r="50" spans="8:8" x14ac:dyDescent="0.25">
      <c r="H50" s="18" t="str">
        <f t="shared" si="0"/>
        <v/>
      </c>
    </row>
    <row r="51" spans="8:8" x14ac:dyDescent="0.25">
      <c r="H51" s="18" t="str">
        <f t="shared" si="0"/>
        <v/>
      </c>
    </row>
    <row r="52" spans="8:8" x14ac:dyDescent="0.25">
      <c r="H52" s="18" t="str">
        <f t="shared" si="0"/>
        <v/>
      </c>
    </row>
    <row r="53" spans="8:8" x14ac:dyDescent="0.25">
      <c r="H53" s="18" t="str">
        <f t="shared" si="0"/>
        <v/>
      </c>
    </row>
    <row r="54" spans="8:8" x14ac:dyDescent="0.25">
      <c r="H54" s="18" t="str">
        <f t="shared" si="0"/>
        <v/>
      </c>
    </row>
    <row r="55" spans="8:8" x14ac:dyDescent="0.25">
      <c r="H55" s="18" t="str">
        <f t="shared" si="0"/>
        <v/>
      </c>
    </row>
    <row r="56" spans="8:8" x14ac:dyDescent="0.25">
      <c r="H56" s="18" t="str">
        <f t="shared" si="0"/>
        <v/>
      </c>
    </row>
    <row r="57" spans="8:8" x14ac:dyDescent="0.25">
      <c r="H57" s="18" t="str">
        <f t="shared" si="0"/>
        <v/>
      </c>
    </row>
    <row r="58" spans="8:8" x14ac:dyDescent="0.25">
      <c r="H58" s="18" t="str">
        <f t="shared" si="0"/>
        <v/>
      </c>
    </row>
    <row r="59" spans="8:8" x14ac:dyDescent="0.25">
      <c r="H59" s="18" t="str">
        <f t="shared" si="0"/>
        <v/>
      </c>
    </row>
    <row r="60" spans="8:8" x14ac:dyDescent="0.25">
      <c r="H60" s="18" t="str">
        <f t="shared" si="0"/>
        <v/>
      </c>
    </row>
    <row r="61" spans="8:8" x14ac:dyDescent="0.25">
      <c r="H61" s="18" t="str">
        <f t="shared" si="0"/>
        <v/>
      </c>
    </row>
    <row r="62" spans="8:8" x14ac:dyDescent="0.25">
      <c r="H62" s="18" t="str">
        <f t="shared" si="0"/>
        <v/>
      </c>
    </row>
    <row r="63" spans="8:8" x14ac:dyDescent="0.25">
      <c r="H63" s="18" t="str">
        <f t="shared" si="0"/>
        <v/>
      </c>
    </row>
    <row r="64" spans="8:8" x14ac:dyDescent="0.25">
      <c r="H64" s="18" t="str">
        <f t="shared" si="0"/>
        <v/>
      </c>
    </row>
    <row r="65" spans="8:8" x14ac:dyDescent="0.25">
      <c r="H65" s="18" t="str">
        <f t="shared" si="0"/>
        <v/>
      </c>
    </row>
    <row r="66" spans="8:8" x14ac:dyDescent="0.25">
      <c r="H66" s="18" t="str">
        <f t="shared" si="0"/>
        <v/>
      </c>
    </row>
    <row r="67" spans="8:8" x14ac:dyDescent="0.25">
      <c r="H67" s="18" t="str">
        <f t="shared" ref="H67:H100" si="1">IF(A67="","",PROPER(TEXT(A67,"mmmm")))</f>
        <v/>
      </c>
    </row>
    <row r="68" spans="8:8" x14ac:dyDescent="0.25">
      <c r="H68" s="18" t="str">
        <f t="shared" si="1"/>
        <v/>
      </c>
    </row>
    <row r="69" spans="8:8" x14ac:dyDescent="0.25">
      <c r="H69" s="18" t="str">
        <f t="shared" si="1"/>
        <v/>
      </c>
    </row>
    <row r="70" spans="8:8" x14ac:dyDescent="0.25">
      <c r="H70" s="18" t="str">
        <f t="shared" si="1"/>
        <v/>
      </c>
    </row>
    <row r="71" spans="8:8" x14ac:dyDescent="0.25">
      <c r="H71" s="18" t="str">
        <f t="shared" si="1"/>
        <v/>
      </c>
    </row>
    <row r="72" spans="8:8" x14ac:dyDescent="0.25">
      <c r="H72" s="18" t="str">
        <f t="shared" si="1"/>
        <v/>
      </c>
    </row>
    <row r="73" spans="8:8" x14ac:dyDescent="0.25">
      <c r="H73" s="18" t="str">
        <f t="shared" si="1"/>
        <v/>
      </c>
    </row>
    <row r="74" spans="8:8" x14ac:dyDescent="0.25">
      <c r="H74" s="18" t="str">
        <f t="shared" si="1"/>
        <v/>
      </c>
    </row>
    <row r="75" spans="8:8" x14ac:dyDescent="0.25">
      <c r="H75" s="18" t="str">
        <f t="shared" si="1"/>
        <v/>
      </c>
    </row>
    <row r="76" spans="8:8" x14ac:dyDescent="0.25">
      <c r="H76" s="18" t="str">
        <f t="shared" si="1"/>
        <v/>
      </c>
    </row>
    <row r="77" spans="8:8" x14ac:dyDescent="0.25">
      <c r="H77" s="18" t="str">
        <f t="shared" si="1"/>
        <v/>
      </c>
    </row>
    <row r="78" spans="8:8" x14ac:dyDescent="0.25">
      <c r="H78" s="18" t="str">
        <f t="shared" si="1"/>
        <v/>
      </c>
    </row>
    <row r="79" spans="8:8" x14ac:dyDescent="0.25">
      <c r="H79" s="18" t="str">
        <f t="shared" si="1"/>
        <v/>
      </c>
    </row>
    <row r="80" spans="8:8" x14ac:dyDescent="0.25">
      <c r="H80" s="18" t="str">
        <f t="shared" si="1"/>
        <v/>
      </c>
    </row>
    <row r="81" spans="8:8" x14ac:dyDescent="0.25">
      <c r="H81" s="18" t="str">
        <f t="shared" si="1"/>
        <v/>
      </c>
    </row>
    <row r="82" spans="8:8" x14ac:dyDescent="0.25">
      <c r="H82" s="18" t="str">
        <f t="shared" si="1"/>
        <v/>
      </c>
    </row>
    <row r="83" spans="8:8" x14ac:dyDescent="0.25">
      <c r="H83" s="18" t="str">
        <f t="shared" si="1"/>
        <v/>
      </c>
    </row>
    <row r="84" spans="8:8" x14ac:dyDescent="0.25">
      <c r="H84" s="18" t="str">
        <f t="shared" si="1"/>
        <v/>
      </c>
    </row>
    <row r="85" spans="8:8" x14ac:dyDescent="0.25">
      <c r="H85" s="18" t="str">
        <f t="shared" si="1"/>
        <v/>
      </c>
    </row>
    <row r="86" spans="8:8" x14ac:dyDescent="0.25">
      <c r="H86" s="18" t="str">
        <f t="shared" si="1"/>
        <v/>
      </c>
    </row>
    <row r="87" spans="8:8" x14ac:dyDescent="0.25">
      <c r="H87" s="18" t="str">
        <f t="shared" si="1"/>
        <v/>
      </c>
    </row>
    <row r="88" spans="8:8" x14ac:dyDescent="0.25">
      <c r="H88" s="18" t="str">
        <f t="shared" si="1"/>
        <v/>
      </c>
    </row>
    <row r="89" spans="8:8" x14ac:dyDescent="0.25">
      <c r="H89" s="18" t="str">
        <f t="shared" si="1"/>
        <v/>
      </c>
    </row>
    <row r="90" spans="8:8" x14ac:dyDescent="0.25">
      <c r="H90" s="18" t="str">
        <f t="shared" si="1"/>
        <v/>
      </c>
    </row>
    <row r="91" spans="8:8" x14ac:dyDescent="0.25">
      <c r="H91" s="18" t="str">
        <f t="shared" si="1"/>
        <v/>
      </c>
    </row>
    <row r="92" spans="8:8" x14ac:dyDescent="0.25">
      <c r="H92" s="18" t="str">
        <f t="shared" si="1"/>
        <v/>
      </c>
    </row>
    <row r="93" spans="8:8" x14ac:dyDescent="0.25">
      <c r="H93" s="18" t="str">
        <f t="shared" si="1"/>
        <v/>
      </c>
    </row>
    <row r="94" spans="8:8" x14ac:dyDescent="0.25">
      <c r="H94" s="18" t="str">
        <f t="shared" si="1"/>
        <v/>
      </c>
    </row>
    <row r="95" spans="8:8" x14ac:dyDescent="0.25">
      <c r="H95" s="18" t="str">
        <f t="shared" si="1"/>
        <v/>
      </c>
    </row>
    <row r="96" spans="8:8" x14ac:dyDescent="0.25">
      <c r="H96" s="18" t="str">
        <f t="shared" si="1"/>
        <v/>
      </c>
    </row>
    <row r="97" spans="8:8" x14ac:dyDescent="0.25">
      <c r="H97" s="18" t="str">
        <f t="shared" si="1"/>
        <v/>
      </c>
    </row>
    <row r="98" spans="8:8" x14ac:dyDescent="0.25">
      <c r="H98" s="18" t="str">
        <f t="shared" si="1"/>
        <v/>
      </c>
    </row>
    <row r="99" spans="8:8" x14ac:dyDescent="0.25">
      <c r="H99" s="18" t="str">
        <f t="shared" si="1"/>
        <v/>
      </c>
    </row>
    <row r="100" spans="8:8" x14ac:dyDescent="0.25">
      <c r="H100" s="18" t="str">
        <f t="shared" si="1"/>
        <v/>
      </c>
    </row>
  </sheetData>
  <dataValidations count="3">
    <dataValidation type="list" allowBlank="1" showInputMessage="1" showErrorMessage="1" sqref="B2:B100" xr:uid="{4406D994-4801-41F9-8462-6ECF1C7E9834}">
      <formula1>"Receita,Despesa"</formula1>
    </dataValidation>
    <dataValidation type="list" allowBlank="1" showInputMessage="1" showErrorMessage="1" sqref="C2:C100" xr:uid="{A30EF13D-3950-4C91-8686-CB1617C00698}">
      <formula1>"Vendas,Serviços,Comissões,Investimentos,Marketing,Salários,Impostos,Fornecedores,Aluguel,Internet,Transporte,Outros"</formula1>
    </dataValidation>
    <dataValidation type="list" allowBlank="1" showInputMessage="1" showErrorMessage="1" sqref="F2:F100" xr:uid="{83E6D642-88A3-4AC3-826E-0DB6F4A3F442}">
      <formula1>"Pix,Dinheiro,Cartão de Débito,Cartão de Crédito,Transferência,Boleto"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5E32-9F99-43A4-A3F6-992DA67A8861}">
  <dimension ref="A1:B14"/>
  <sheetViews>
    <sheetView zoomScaleNormal="60" zoomScaleSheetLayoutView="100" workbookViewId="0">
      <selection activeCell="D7" sqref="D7"/>
    </sheetView>
  </sheetViews>
  <sheetFormatPr defaultRowHeight="15" x14ac:dyDescent="0.25"/>
  <cols>
    <col min="1" max="1" width="15.7109375" customWidth="1"/>
    <col min="2" max="2" width="25.7109375" customWidth="1"/>
  </cols>
  <sheetData>
    <row r="1" spans="1:2" x14ac:dyDescent="0.25">
      <c r="A1" s="9" t="s">
        <v>9</v>
      </c>
      <c r="B1" s="9" t="s">
        <v>10</v>
      </c>
    </row>
    <row r="2" spans="1:2" x14ac:dyDescent="0.25">
      <c r="A2" s="14" t="s">
        <v>15</v>
      </c>
      <c r="B2" s="14" t="s">
        <v>17</v>
      </c>
    </row>
    <row r="3" spans="1:2" x14ac:dyDescent="0.25">
      <c r="A3" s="14" t="s">
        <v>15</v>
      </c>
      <c r="B3" s="14" t="s">
        <v>18</v>
      </c>
    </row>
    <row r="4" spans="1:2" x14ac:dyDescent="0.25">
      <c r="A4" s="14" t="s">
        <v>15</v>
      </c>
      <c r="B4" s="14" t="s">
        <v>19</v>
      </c>
    </row>
    <row r="5" spans="1:2" x14ac:dyDescent="0.25">
      <c r="A5" s="14" t="s">
        <v>15</v>
      </c>
      <c r="B5" s="14" t="s">
        <v>20</v>
      </c>
    </row>
    <row r="6" spans="1:2" x14ac:dyDescent="0.25">
      <c r="A6" s="14" t="s">
        <v>15</v>
      </c>
      <c r="B6" s="14" t="s">
        <v>21</v>
      </c>
    </row>
    <row r="7" spans="1:2" x14ac:dyDescent="0.25">
      <c r="A7" s="14" t="s">
        <v>16</v>
      </c>
      <c r="B7" s="14" t="s">
        <v>22</v>
      </c>
    </row>
    <row r="8" spans="1:2" x14ac:dyDescent="0.25">
      <c r="A8" s="14" t="s">
        <v>16</v>
      </c>
      <c r="B8" s="14" t="s">
        <v>23</v>
      </c>
    </row>
    <row r="9" spans="1:2" x14ac:dyDescent="0.25">
      <c r="A9" s="14" t="s">
        <v>16</v>
      </c>
      <c r="B9" s="14" t="s">
        <v>24</v>
      </c>
    </row>
    <row r="10" spans="1:2" x14ac:dyDescent="0.25">
      <c r="A10" s="14" t="s">
        <v>16</v>
      </c>
      <c r="B10" s="14" t="s">
        <v>25</v>
      </c>
    </row>
    <row r="11" spans="1:2" x14ac:dyDescent="0.25">
      <c r="A11" s="14" t="s">
        <v>16</v>
      </c>
      <c r="B11" s="14" t="s">
        <v>26</v>
      </c>
    </row>
    <row r="12" spans="1:2" x14ac:dyDescent="0.25">
      <c r="A12" s="14" t="s">
        <v>16</v>
      </c>
      <c r="B12" s="14" t="s">
        <v>27</v>
      </c>
    </row>
    <row r="13" spans="1:2" x14ac:dyDescent="0.25">
      <c r="A13" s="14" t="s">
        <v>16</v>
      </c>
      <c r="B13" s="14" t="s">
        <v>28</v>
      </c>
    </row>
    <row r="14" spans="1:2" x14ac:dyDescent="0.25">
      <c r="A14" s="14" t="s">
        <v>16</v>
      </c>
      <c r="B14" s="14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B979-AAFA-4CFA-848F-23D795285B74}">
  <dimension ref="A1:G5"/>
  <sheetViews>
    <sheetView workbookViewId="0"/>
  </sheetViews>
  <sheetFormatPr defaultRowHeight="15" x14ac:dyDescent="0.25"/>
  <cols>
    <col min="1" max="1" width="15.7109375" customWidth="1"/>
    <col min="2" max="2" width="25.7109375" customWidth="1"/>
    <col min="3" max="3" width="20.7109375" customWidth="1"/>
    <col min="4" max="4" width="35.7109375" customWidth="1"/>
    <col min="5" max="5" width="15.7109375" style="13" customWidth="1"/>
    <col min="6" max="6" width="15.7109375" customWidth="1"/>
    <col min="7" max="7" width="20.7109375" style="11" customWidth="1"/>
  </cols>
  <sheetData>
    <row r="1" spans="1:7" x14ac:dyDescent="0.25">
      <c r="A1" s="15" t="s">
        <v>29</v>
      </c>
      <c r="B1" s="16" t="s">
        <v>30</v>
      </c>
      <c r="C1" s="16" t="s">
        <v>10</v>
      </c>
      <c r="D1" s="16" t="s">
        <v>31</v>
      </c>
      <c r="E1" s="17" t="s">
        <v>12</v>
      </c>
      <c r="F1" s="16" t="s">
        <v>32</v>
      </c>
      <c r="G1" s="15" t="s">
        <v>33</v>
      </c>
    </row>
    <row r="2" spans="1:7" x14ac:dyDescent="0.25">
      <c r="C2" t="s">
        <v>27</v>
      </c>
      <c r="E2" s="13">
        <v>70</v>
      </c>
      <c r="F2" t="s">
        <v>34</v>
      </c>
    </row>
    <row r="3" spans="1:7" x14ac:dyDescent="0.25">
      <c r="C3" t="s">
        <v>26</v>
      </c>
      <c r="E3" s="13">
        <v>800</v>
      </c>
      <c r="F3" t="s">
        <v>34</v>
      </c>
    </row>
    <row r="4" spans="1:7" x14ac:dyDescent="0.25">
      <c r="C4" t="s">
        <v>23</v>
      </c>
      <c r="E4" s="13">
        <v>400</v>
      </c>
      <c r="F4" t="s">
        <v>35</v>
      </c>
    </row>
    <row r="5" spans="1:7" x14ac:dyDescent="0.25">
      <c r="F5" t="s">
        <v>48</v>
      </c>
    </row>
  </sheetData>
  <conditionalFormatting sqref="F2:F100">
    <cfRule type="containsText" dxfId="5" priority="1" operator="containsText" text="Atrasado">
      <formula>NOT(ISERROR(SEARCH("Atrasado",F2)))</formula>
    </cfRule>
    <cfRule type="containsText" dxfId="4" priority="2" operator="containsText" text="pendente">
      <formula>NOT(ISERROR(SEARCH("pendente",F2)))</formula>
    </cfRule>
    <cfRule type="containsText" dxfId="3" priority="3" operator="containsText" text="Pago">
      <formula>NOT(ISERROR(SEARCH("Pago",F2)))</formula>
    </cfRule>
  </conditionalFormatting>
  <dataValidations count="2">
    <dataValidation type="list" allowBlank="1" showInputMessage="1" showErrorMessage="1" sqref="C2:C100" xr:uid="{1619DEE3-A0FF-4681-82B1-167764559231}">
      <formula1>"Marketing,Salários,Impostos,Fornecedores,Aluguel,Internet,Transporte,Outros"</formula1>
    </dataValidation>
    <dataValidation type="list" allowBlank="1" showInputMessage="1" showErrorMessage="1" sqref="F2:F100" xr:uid="{B7970ACF-69DD-43F2-8D84-E78FC765FA02}">
      <formula1>"Pendente,Pago,Atrasado"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1816-8927-4769-A5BA-25D12372D5D0}">
  <dimension ref="A1:G4"/>
  <sheetViews>
    <sheetView workbookViewId="0">
      <selection activeCell="J19" sqref="J19"/>
    </sheetView>
  </sheetViews>
  <sheetFormatPr defaultRowHeight="15" x14ac:dyDescent="0.25"/>
  <cols>
    <col min="1" max="1" width="16.7109375" style="11" bestFit="1" customWidth="1"/>
    <col min="2" max="2" width="25.7109375" customWidth="1"/>
    <col min="3" max="3" width="20.7109375" customWidth="1"/>
    <col min="4" max="4" width="35.7109375" customWidth="1"/>
    <col min="5" max="5" width="15.7109375" style="13" customWidth="1"/>
    <col min="6" max="6" width="15.7109375" customWidth="1"/>
    <col min="7" max="7" width="27.42578125" style="11" bestFit="1" customWidth="1"/>
  </cols>
  <sheetData>
    <row r="1" spans="1:7" x14ac:dyDescent="0.25">
      <c r="A1" s="10" t="s">
        <v>29</v>
      </c>
      <c r="B1" s="9" t="s">
        <v>36</v>
      </c>
      <c r="C1" s="9" t="s">
        <v>10</v>
      </c>
      <c r="D1" s="9" t="s">
        <v>31</v>
      </c>
      <c r="E1" s="12" t="s">
        <v>12</v>
      </c>
      <c r="F1" s="9" t="s">
        <v>32</v>
      </c>
      <c r="G1" s="10" t="s">
        <v>37</v>
      </c>
    </row>
    <row r="2" spans="1:7" x14ac:dyDescent="0.25">
      <c r="C2" t="s">
        <v>19</v>
      </c>
      <c r="E2" s="13">
        <v>60</v>
      </c>
      <c r="F2" t="s">
        <v>35</v>
      </c>
    </row>
    <row r="3" spans="1:7" x14ac:dyDescent="0.25">
      <c r="C3" t="s">
        <v>20</v>
      </c>
      <c r="E3" s="13">
        <v>700</v>
      </c>
      <c r="F3" t="s">
        <v>38</v>
      </c>
    </row>
    <row r="4" spans="1:7" x14ac:dyDescent="0.25">
      <c r="F4" t="s">
        <v>48</v>
      </c>
    </row>
  </sheetData>
  <conditionalFormatting sqref="F2:F100">
    <cfRule type="containsText" dxfId="2" priority="1" operator="containsText" text="Atrasado">
      <formula>NOT(ISERROR(SEARCH("Atrasado",F2)))</formula>
    </cfRule>
    <cfRule type="containsText" dxfId="1" priority="2" operator="containsText" text="Pendente">
      <formula>NOT(ISERROR(SEARCH("Pendente",F2)))</formula>
    </cfRule>
    <cfRule type="containsText" dxfId="0" priority="3" operator="containsText" text="Recebido">
      <formula>NOT(ISERROR(SEARCH("Recebido",F2)))</formula>
    </cfRule>
  </conditionalFormatting>
  <dataValidations count="2">
    <dataValidation type="list" allowBlank="1" showInputMessage="1" showErrorMessage="1" sqref="C2:C100" xr:uid="{75988934-791D-4BEE-B666-6BAEB8426147}">
      <formula1>"Vendas,Serviços,Comissões,Investimentos,Outros"</formula1>
    </dataValidation>
    <dataValidation type="list" allowBlank="1" showInputMessage="1" showErrorMessage="1" sqref="F2:F100" xr:uid="{DFE35580-0A66-4FE2-A572-CDA40AA0BCEF}">
      <formula1>"Pendente,Recebido,Atrasado"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22D9-C802-4648-B38B-B592FCEF1753}">
  <dimension ref="A1:B10"/>
  <sheetViews>
    <sheetView workbookViewId="0">
      <selection activeCell="H16" sqref="H16"/>
    </sheetView>
  </sheetViews>
  <sheetFormatPr defaultRowHeight="15" x14ac:dyDescent="0.25"/>
  <cols>
    <col min="1" max="1" width="30.7109375" customWidth="1"/>
    <col min="2" max="2" width="20.7109375" style="13" customWidth="1"/>
    <col min="8" max="8" width="12.42578125" bestFit="1" customWidth="1"/>
  </cols>
  <sheetData>
    <row r="1" spans="1:2" x14ac:dyDescent="0.25">
      <c r="A1" s="9" t="s">
        <v>39</v>
      </c>
      <c r="B1" s="12" t="s">
        <v>12</v>
      </c>
    </row>
    <row r="2" spans="1:2" x14ac:dyDescent="0.25">
      <c r="A2" t="s">
        <v>40</v>
      </c>
      <c r="B2" s="24">
        <f>SUMIFS(Lançamentos!E:E,Lançamentos!B:B,"Receita")</f>
        <v>2900</v>
      </c>
    </row>
    <row r="3" spans="1:2" x14ac:dyDescent="0.25">
      <c r="A3" t="s">
        <v>41</v>
      </c>
      <c r="B3" s="24">
        <f>SUMIFS(Lançamentos!E:E,Lançamentos!B:B,"Despesa")</f>
        <v>1650</v>
      </c>
    </row>
    <row r="4" spans="1:2" x14ac:dyDescent="0.25">
      <c r="A4" t="s">
        <v>42</v>
      </c>
      <c r="B4" s="24">
        <f>B2-B3</f>
        <v>1250</v>
      </c>
    </row>
    <row r="5" spans="1:2" x14ac:dyDescent="0.25">
      <c r="A5" t="s">
        <v>43</v>
      </c>
      <c r="B5" s="24">
        <f>SUMIFS(Pagar!E:E,Pagar!F:F,"Pendente")</f>
        <v>400</v>
      </c>
    </row>
    <row r="6" spans="1:2" x14ac:dyDescent="0.25">
      <c r="A6" t="s">
        <v>44</v>
      </c>
      <c r="B6" s="24">
        <f>SUMIFS(Receber!E:E,Receber!F:F,"Pendente")</f>
        <v>60</v>
      </c>
    </row>
    <row r="7" spans="1:2" x14ac:dyDescent="0.25">
      <c r="A7" t="s">
        <v>45</v>
      </c>
      <c r="B7" s="24">
        <f>SUMIFS(Receber!E:E,Receber!F:F,"Recebido")</f>
        <v>700</v>
      </c>
    </row>
    <row r="8" spans="1:2" x14ac:dyDescent="0.25">
      <c r="A8" t="s">
        <v>46</v>
      </c>
      <c r="B8" s="24">
        <f>SUMIFS(Pagar!E:E,Pagar!F:F,"Pago")</f>
        <v>870</v>
      </c>
    </row>
    <row r="9" spans="1:2" x14ac:dyDescent="0.25">
      <c r="A9" t="s">
        <v>47</v>
      </c>
      <c r="B9" s="24">
        <f>B2-B3</f>
        <v>1250</v>
      </c>
    </row>
    <row r="10" spans="1:2" x14ac:dyDescent="0.25">
      <c r="A10" t="s">
        <v>50</v>
      </c>
      <c r="B10" s="32">
        <f>IF(B2=0,0,B9/B2)</f>
        <v>0.43103448275862066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Capa</vt:lpstr>
      <vt:lpstr>Dashboard</vt:lpstr>
      <vt:lpstr>Lançamentos</vt:lpstr>
      <vt:lpstr>Categoria</vt:lpstr>
      <vt:lpstr>Pagar</vt:lpstr>
      <vt:lpstr>Receber</vt:lpstr>
      <vt:lpstr>Indicadores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Bauch</dc:creator>
  <cp:keywords/>
  <dc:description/>
  <cp:lastModifiedBy>THYERIS VICTOR BAUCH</cp:lastModifiedBy>
  <cp:revision/>
  <dcterms:created xsi:type="dcterms:W3CDTF">2026-06-08T19:53:43Z</dcterms:created>
  <dcterms:modified xsi:type="dcterms:W3CDTF">2026-06-23T13:32:21Z</dcterms:modified>
  <cp:category/>
  <cp:contentStatus/>
</cp:coreProperties>
</file>